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4eb67033194176" /></Relationships>
</file>

<file path=xl/workbook.xml><?xml version="1.0" encoding="utf-8"?>
<x:workbook xmlns:x="http://schemas.openxmlformats.org/spreadsheetml/2006/main">
  <x:sheets>
    <x:sheet xmlns:r="http://schemas.openxmlformats.org/officeDocument/2006/relationships" name="00_概要" sheetId="1" r:id="R1d7107bd375040f2"/>
    <x:sheet xmlns:r="http://schemas.openxmlformats.org/officeDocument/2006/relationships" name="01_入荷確定" sheetId="2" r:id="R35f7df5745e24eea"/>
    <x:sheet xmlns:r="http://schemas.openxmlformats.org/officeDocument/2006/relationships" name="02_仕入連携" sheetId="3" r:id="Rd43d3d015a53459b"/>
    <x:sheet xmlns:r="http://schemas.openxmlformats.org/officeDocument/2006/relationships" name="03_分納欠品" sheetId="4" r:id="R032425bb166e494c"/>
    <x:sheet xmlns:r="http://schemas.openxmlformats.org/officeDocument/2006/relationships" name="04_数量6缶" sheetId="5" r:id="R048bb3c8cab94a26"/>
    <x:sheet xmlns:r="http://schemas.openxmlformats.org/officeDocument/2006/relationships" name="05_単価相違" sheetId="6" r:id="R59f0f1e63ad14488"/>
    <x:sheet xmlns:r="http://schemas.openxmlformats.org/officeDocument/2006/relationships" name="06_重複排他" sheetId="7" r:id="R960c611aadd2410a"/>
    <x:sheet xmlns:r="http://schemas.openxmlformats.org/officeDocument/2006/relationships" name="07_SQL確認" sheetId="8" r:id="R54880ed9b37a4e73"/>
    <x:sheet xmlns:r="http://schemas.openxmlformats.org/officeDocument/2006/relationships" name="08_結果記録" sheetId="9" r:id="R5c83209500df446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4"/>
      <x:color rgb="FFFFFFFF"/>
      <x:name val="Carlito"/>
    </x:font>
    <x:font>
      <x:sz val="11"/>
      <x:color rgb="FF1E293B"/>
      <x:name val="Carlito"/>
    </x:font>
    <x:font>
      <x:b/>
      <x:sz val="11"/>
      <x:color rgb="FF374151"/>
      <x:name val="Carlito"/>
    </x:font>
    <x:font>
      <x:b/>
      <x:sz val="11"/>
      <x:color rgb="FFFFFFFF"/>
      <x:name val="Carlito"/>
    </x:font>
    <x:font>
      <x:b/>
      <x:sz val="16"/>
      <x:color rgb="FFFFFFFF"/>
      <x:name val="Carlito"/>
    </x:font>
  </x:fonts>
  <x:fills count="7">
    <x:fill>
      <x:patternFill patternType="none"/>
    </x:fill>
    <x:fill>
      <x:patternFill patternType="gray125"/>
    </x:fill>
    <x:fill>
      <x:patternFill patternType="solid">
        <x:fgColor rgb="FF1E293B"/>
      </x:patternFill>
    </x:fill>
    <x:fill>
      <x:patternFill patternType="solid">
        <x:fgColor rgb="FFDBEAFE"/>
      </x:patternFill>
    </x:fill>
    <x:fill>
      <x:patternFill patternType="solid">
        <x:fgColor rgb="FFF3F4F6"/>
      </x:patternFill>
    </x:fill>
    <x:fill>
      <x:patternFill patternType="solid">
        <x:fgColor rgb="FF374151"/>
      </x:patternFill>
    </x:fill>
    <x:fill>
      <x:patternFill patternType="solid">
        <x:fgColor rgb="FFFFFFFF"/>
      </x:patternFill>
    </x:fill>
  </x:fills>
  <x:borders count="2">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x:xf>
    <x:xf numFmtId="0" fontId="4" fillId="5"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4" fillId="5" borderId="0" xfId="0" applyNumberFormat="1" applyFont="1" applyFill="1" applyBorder="1" applyAlignment="1">
      <x:alignment horizontal="center"/>
    </x:xf>
    <x:xf numFmtId="0" fontId="4" fillId="5" borderId="1" xfId="0" applyNumberFormat="1" applyFont="1" applyFill="1" applyBorder="1" applyAlignment="1">
      <x:alignment horizontal="center"/>
    </x:xf>
    <x:xf numFmtId="0" fontId="5" fillId="2" borderId="0" xfId="0" applyNumberFormat="1" applyFont="1" applyFill="1" applyBorder="1"/>
    <x:xf numFmtId="0" fontId="5" fillId="2" borderId="0" xfId="0" applyNumberFormat="1" applyFont="1" applyFill="1" applyBorder="1" applyAlignment="1">
      <x:alignment vertical="center"/>
    </x:xf>
    <x:xf numFmtId="0" fontId="0" fillId="0" borderId="0" xfId="0" applyNumberFormat="1" applyFont="1" applyFill="1" applyBorder="1" applyAlignment="1">
      <x:alignment horizontal="right"/>
    </x:xf>
    <x:xf numFmtId="200" fontId="0" fillId="0" borderId="0" xfId="0" applyNumberFormat="1" applyFont="1" applyFill="1" applyBorder="1" applyAlignment="1">
      <x:alignment horizontal="right"/>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4" fillId="5" borderId="1" xfId="0" applyNumberFormat="1" applyFont="1" applyFill="1" applyBorder="1"/>
    <x:xf numFmtId="0" fontId="0" fillId="6" borderId="1" xfId="0" applyNumberFormat="1" applyFont="1" applyFill="1" applyBorder="1" applyAlignment="1">
      <x:alignment vertical="top" wrapText="1"/>
    </x:xf>
    <x:xf numFmtId="0" fontId="0" fillId="0" borderId="1" xfId="0" applyNumberFormat="1" applyFont="1" applyFill="1" applyBorder="1"/>
    <x:xf numFmtId="0" fontId="5" fillId="2"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x:xf>
    <x:xf numFmtId="0" fontId="0" fillId="0" borderId="0" xfId="0" applyNumberFormat="1" applyFont="1" applyFill="1" applyBorder="1" applyAlignment="1">
      <x:alignment horizontal="right" vertical="top"/>
    </x:xf>
    <x:xf numFmtId="200" fontId="0" fillId="0" borderId="0" xfId="0" applyNumberFormat="1" applyFont="1" applyFill="1" applyBorder="1" applyAlignment="1">
      <x:alignment horizontal="right" vertical="top"/>
    </x:xf>
    <x:xf numFmtId="0" fontId="4" fillId="5" borderId="1" xfId="0" applyNumberFormat="1" applyFont="1" applyFill="1" applyBorder="1" applyAlignment="1">
      <x:alignment vertical="top"/>
    </x:xf>
    <x:xf numFmtId="0" fontId="0" fillId="0" borderId="1" xfId="0" applyNumberFormat="1" applyFont="1" applyFill="1" applyBorder="1" applyAlignment="1">
      <x:alignment vertical="top"/>
    </x:xf>
    <x:xf numFmtId="0" fontId="5"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horizontal="right" vertical="top" wrapText="1"/>
    </x:xf>
    <x:xf numFmtId="200" fontId="0" fillId="0" borderId="0" xfId="0" applyNumberFormat="1" applyFont="1" applyFill="1" applyBorder="1" applyAlignment="1">
      <x:alignment horizontal="right" vertical="top" wrapText="1"/>
    </x:xf>
    <x:xf numFmtId="0" fontId="4" fillId="5" borderId="1" xfId="0" applyNumberFormat="1" applyFont="1" applyFill="1" applyBorder="1" applyAlignment="1">
      <x:alignment vertical="top" wrapText="1"/>
    </x:xf>
  </x:cellXfs>
  <x:cellStyles count="1">
    <x:cellStyle name="Normal" xfId="0"/>
  </x:cellStyles>
  <x:dxfs count="28">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5B21B6"/>
      </x:font>
      <x:fill>
        <x:patternFill patternType="solid">
          <x:bgColor rgb="FFEDE9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443761b99b8425b" /><Relationship Type="http://schemas.openxmlformats.org/officeDocument/2006/relationships/theme" Target="/xl/theme/theme1.xml" Id="Rfd4d42cde8f44d28" /><Relationship Type="http://schemas.openxmlformats.org/officeDocument/2006/relationships/sharedStrings" Target="/xl/sharedStrings.xml" Id="Re4af03fc37eb4a49" /><Relationship Type="http://schemas.openxmlformats.org/officeDocument/2006/relationships/worksheet" Target="/xl/worksheets/sheet1.xml" Id="R1d7107bd375040f2" /><Relationship Type="http://schemas.openxmlformats.org/officeDocument/2006/relationships/worksheet" Target="/xl/worksheets/sheet2.xml" Id="R35f7df5745e24eea" /><Relationship Type="http://schemas.openxmlformats.org/officeDocument/2006/relationships/worksheet" Target="/xl/worksheets/sheet3.xml" Id="Rd43d3d015a53459b" /><Relationship Type="http://schemas.openxmlformats.org/officeDocument/2006/relationships/worksheet" Target="/xl/worksheets/sheet4.xml" Id="R032425bb166e494c" /><Relationship Type="http://schemas.openxmlformats.org/officeDocument/2006/relationships/worksheet" Target="/xl/worksheets/sheet5.xml" Id="R048bb3c8cab94a26" /><Relationship Type="http://schemas.openxmlformats.org/officeDocument/2006/relationships/worksheet" Target="/xl/worksheets/sheet6.xml" Id="R59f0f1e63ad14488" /><Relationship Type="http://schemas.openxmlformats.org/officeDocument/2006/relationships/worksheet" Target="/xl/worksheets/sheet7.xml" Id="R960c611aadd2410a" /><Relationship Type="http://schemas.openxmlformats.org/officeDocument/2006/relationships/worksheet" Target="/xl/worksheets/sheet8.xml" Id="R54880ed9b37a4e73" /><Relationship Type="http://schemas.openxmlformats.org/officeDocument/2006/relationships/worksheet" Target="/xl/worksheets/sheet9.xml" Id="R5c83209500df446e" /></Relationships>
</file>

<file path=xl/tables/table1.xml><?xml version="1.0" encoding="utf-8"?>
<x:table xmlns:x="http://schemas.openxmlformats.org/spreadsheetml/2006/main" id="9" name="OverviewProgress" displayName="OverviewProgress" ref="A5:I11" headerRowCount="1" totalsRowCount="0" totalsRowShown="0">
  <x:tableColumns count="9">
    <x:tableColumn id="1" name="テスト群"/>
    <x:tableColumn id="2" name="シート"/>
    <x:tableColumn id="3" name="件数"/>
    <x:tableColumn id="4" name="OK"/>
    <x:tableColumn id="5" name="NG"/>
    <x:tableColumn id="6" name="保留"/>
    <x:tableColumn id="7" name="未実施"/>
    <x:tableColumn id="8" name="対象外"/>
    <x:tableColumn id="9" name="完了率"/>
  </x:tableColumns>
  <x:tableStyleInfo name="TableStyleMedium2" showFirstColumn="0" showLastColumn="0" showRowStripes="1" showColumnStripes="0"/>
</x:table>
</file>

<file path=xl/tables/table2.xml><?xml version="1.0" encoding="utf-8"?>
<x:table xmlns:x="http://schemas.openxmlformats.org/spreadsheetml/2006/main" id="1" name="Checklist01" displayName="Checklist01" ref="A5:N30" headerRowCount="1" totalsRowCount="0" totalsRowShown="0">
  <x:tableColumns count="14">
    <x:tableColumn id="1" name="No"/>
    <x:tableColumn id="2" name="優先度"/>
    <x:tableColumn id="3" name="テスト観点"/>
    <x:tableColumn id="4" name="ケース"/>
    <x:tableColumn id="5" name="事前条件/対象データ"/>
    <x:tableColumn id="6" name="操作"/>
    <x:tableColumn id="7" name="期待結果(UI)"/>
    <x:tableColumn id="8" name="期待結果(DB)"/>
    <x:tableColumn id="9" name="確認画面/SQL"/>
    <x:tableColumn id="10" name="入力する実データ"/>
    <x:tableColumn id="11" name="結果"/>
    <x:tableColumn id="12" name="JXログID/伝票"/>
    <x:tableColumn id="13" name="仕入キューID"/>
    <x:tableColumn id="14" name="メモ"/>
  </x:tableColumns>
  <x:tableStyleInfo name="TableStyleMedium4" showFirstColumn="0" showLastColumn="0" showRowStripes="1" showColumnStripes="0"/>
</x:table>
</file>

<file path=xl/tables/table3.xml><?xml version="1.0" encoding="utf-8"?>
<x:table xmlns:x="http://schemas.openxmlformats.org/spreadsheetml/2006/main" id="2" name="Checklist02" displayName="Checklist02" ref="A5:N25" headerRowCount="1" totalsRowCount="0" totalsRowShown="0">
  <x:tableColumns count="14">
    <x:tableColumn id="1" name="No"/>
    <x:tableColumn id="2" name="優先度"/>
    <x:tableColumn id="3" name="テスト観点"/>
    <x:tableColumn id="4" name="ケース"/>
    <x:tableColumn id="5" name="事前条件/対象データ"/>
    <x:tableColumn id="6" name="操作"/>
    <x:tableColumn id="7" name="期待結果(UI)"/>
    <x:tableColumn id="8" name="期待結果(DB)"/>
    <x:tableColumn id="9" name="確認画面/SQL"/>
    <x:tableColumn id="10" name="入力する実データ"/>
    <x:tableColumn id="11" name="結果"/>
    <x:tableColumn id="12" name="JXログID/伝票"/>
    <x:tableColumn id="13" name="仕入キューID"/>
    <x:tableColumn id="14" name="メモ"/>
  </x:tableColumns>
  <x:tableStyleInfo name="TableStyleMedium4" showFirstColumn="0" showLastColumn="0" showRowStripes="1" showColumnStripes="0"/>
</x:table>
</file>

<file path=xl/tables/table4.xml><?xml version="1.0" encoding="utf-8"?>
<x:table xmlns:x="http://schemas.openxmlformats.org/spreadsheetml/2006/main" id="3" name="Checklist03" displayName="Checklist03" ref="A5:N17" headerRowCount="1" totalsRowCount="0" totalsRowShown="0">
  <x:tableColumns count="14">
    <x:tableColumn id="1" name="No"/>
    <x:tableColumn id="2" name="優先度"/>
    <x:tableColumn id="3" name="テスト観点"/>
    <x:tableColumn id="4" name="ケース"/>
    <x:tableColumn id="5" name="事前条件/対象データ"/>
    <x:tableColumn id="6" name="操作"/>
    <x:tableColumn id="7" name="期待結果(UI)"/>
    <x:tableColumn id="8" name="期待結果(DB)"/>
    <x:tableColumn id="9" name="確認画面/SQL"/>
    <x:tableColumn id="10" name="入力する実データ"/>
    <x:tableColumn id="11" name="結果"/>
    <x:tableColumn id="12" name="JXログID/伝票"/>
    <x:tableColumn id="13" name="仕入キューID"/>
    <x:tableColumn id="14" name="メモ"/>
  </x:tableColumns>
  <x:tableStyleInfo name="TableStyleMedium4" showFirstColumn="0" showLastColumn="0" showRowStripes="1" showColumnStripes="0"/>
</x:table>
</file>

<file path=xl/tables/table5.xml><?xml version="1.0" encoding="utf-8"?>
<x:table xmlns:x="http://schemas.openxmlformats.org/spreadsheetml/2006/main" id="4" name="Checklist046" displayName="Checklist046" ref="A5:N20" headerRowCount="1" totalsRowCount="0" totalsRowShown="0">
  <x:tableColumns count="14">
    <x:tableColumn id="1" name="No"/>
    <x:tableColumn id="2" name="優先度"/>
    <x:tableColumn id="3" name="テスト観点"/>
    <x:tableColumn id="4" name="ケース"/>
    <x:tableColumn id="5" name="事前条件/対象データ"/>
    <x:tableColumn id="6" name="操作"/>
    <x:tableColumn id="7" name="期待結果(UI)"/>
    <x:tableColumn id="8" name="期待結果(DB)"/>
    <x:tableColumn id="9" name="確認画面/SQL"/>
    <x:tableColumn id="10" name="入力する実データ"/>
    <x:tableColumn id="11" name="結果"/>
    <x:tableColumn id="12" name="JXログID/伝票"/>
    <x:tableColumn id="13" name="仕入キューID"/>
    <x:tableColumn id="14" name="メモ"/>
  </x:tableColumns>
  <x:tableStyleInfo name="TableStyleMedium4" showFirstColumn="0" showLastColumn="0" showRowStripes="1" showColumnStripes="0"/>
</x:table>
</file>

<file path=xl/tables/table6.xml><?xml version="1.0" encoding="utf-8"?>
<x:table xmlns:x="http://schemas.openxmlformats.org/spreadsheetml/2006/main" id="5" name="Checklist05" displayName="Checklist05" ref="A5:N21" headerRowCount="1" totalsRowCount="0" totalsRowShown="0">
  <x:tableColumns count="14">
    <x:tableColumn id="1" name="No"/>
    <x:tableColumn id="2" name="優先度"/>
    <x:tableColumn id="3" name="テスト観点"/>
    <x:tableColumn id="4" name="ケース"/>
    <x:tableColumn id="5" name="事前条件/対象データ"/>
    <x:tableColumn id="6" name="操作"/>
    <x:tableColumn id="7" name="期待結果(UI)"/>
    <x:tableColumn id="8" name="期待結果(DB)"/>
    <x:tableColumn id="9" name="確認画面/SQL"/>
    <x:tableColumn id="10" name="入力する実データ"/>
    <x:tableColumn id="11" name="結果"/>
    <x:tableColumn id="12" name="JXログID/伝票"/>
    <x:tableColumn id="13" name="仕入キューID"/>
    <x:tableColumn id="14" name="メモ"/>
  </x:tableColumns>
  <x:tableStyleInfo name="TableStyleMedium4" showFirstColumn="0" showLastColumn="0" showRowStripes="1" showColumnStripes="0"/>
</x:table>
</file>

<file path=xl/tables/table7.xml><?xml version="1.0" encoding="utf-8"?>
<x:table xmlns:x="http://schemas.openxmlformats.org/spreadsheetml/2006/main" id="6" name="Checklist06" displayName="Checklist06" ref="A5:N17" headerRowCount="1" totalsRowCount="0" totalsRowShown="0">
  <x:tableColumns count="14">
    <x:tableColumn id="1" name="No"/>
    <x:tableColumn id="2" name="優先度"/>
    <x:tableColumn id="3" name="テスト観点"/>
    <x:tableColumn id="4" name="ケース"/>
    <x:tableColumn id="5" name="事前条件/対象データ"/>
    <x:tableColumn id="6" name="操作"/>
    <x:tableColumn id="7" name="期待結果(UI)"/>
    <x:tableColumn id="8" name="期待結果(DB)"/>
    <x:tableColumn id="9" name="確認画面/SQL"/>
    <x:tableColumn id="10" name="入力する実データ"/>
    <x:tableColumn id="11" name="結果"/>
    <x:tableColumn id="12" name="JXログID/伝票"/>
    <x:tableColumn id="13" name="仕入キューID"/>
    <x:tableColumn id="14" name="メモ"/>
  </x:tableColumns>
  <x:tableStyleInfo name="TableStyleMedium4" showFirstColumn="0" showLastColumn="0" showRowStripes="1" showColumnStripes="0"/>
</x:table>
</file>

<file path=xl/tables/table8.xml><?xml version="1.0" encoding="utf-8"?>
<x:table xmlns:x="http://schemas.openxmlformats.org/spreadsheetml/2006/main" id="7" name="SqlChecks" displayName="SqlChecks" ref="A4:D16" headerRowCount="1" totalsRowCount="0" totalsRowShown="0">
  <x:tableColumns count="4">
    <x:tableColumn id="1" name="ID"/>
    <x:tableColumn id="2" name="用途"/>
    <x:tableColumn id="3" name="SQL"/>
    <x:tableColumn id="4" name="確認ポイント"/>
  </x:tableColumns>
  <x:tableStyleInfo name="TableStyleMedium7" showFirstColumn="0" showLastColumn="0" showRowStripes="1" showColumnStripes="0"/>
</x:table>
</file>

<file path=xl/tables/table9.xml><?xml version="1.0" encoding="utf-8"?>
<x:table xmlns:x="http://schemas.openxmlformats.org/spreadsheetml/2006/main" id="8" name="ExecutionResults" displayName="ExecutionResults" ref="A4:L64" headerRowCount="1" totalsRowCount="0" totalsRowShown="0">
  <x:tableColumns count="12">
    <x:tableColumn id="1" name="実施日時"/>
    <x:tableColumn id="2" name="実施者"/>
    <x:tableColumn id="3" name="テストID"/>
    <x:tableColumn id="4" name="結果"/>
    <x:tableColumn id="5" name="仕入先"/>
    <x:tableColumn id="6" name="JXログID"/>
    <x:tableColumn id="7" name="伝票番号"/>
    <x:tableColumn id="8" name="入荷予定ID"/>
    <x:tableColumn id="9" name="仕入キューID"/>
    <x:tableColumn id="10" name="確認内容"/>
    <x:tableColumn id="11" name="発見事項"/>
    <x:tableColumn id="12" name="対応ステータス"/>
  </x:tableColumns>
  <x:tableStyleInfo name="TableStyleMedium3"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8cadd716f5c4e3b" /></Relationships>
</file>

<file path=xl/worksheets/_rels/sheet2.xml.rels>&#65279;<?xml version="1.0" encoding="utf-8"?><Relationships xmlns="http://schemas.openxmlformats.org/package/2006/relationships"><Relationship Type="http://schemas.openxmlformats.org/officeDocument/2006/relationships/table" Target="/xl/tables/table2.xml" Id="R609a26fdc5344415" /></Relationships>
</file>

<file path=xl/worksheets/_rels/sheet3.xml.rels>&#65279;<?xml version="1.0" encoding="utf-8"?><Relationships xmlns="http://schemas.openxmlformats.org/package/2006/relationships"><Relationship Type="http://schemas.openxmlformats.org/officeDocument/2006/relationships/table" Target="/xl/tables/table3.xml" Id="R3ff814cba45b4125" /></Relationships>
</file>

<file path=xl/worksheets/_rels/sheet4.xml.rels>&#65279;<?xml version="1.0" encoding="utf-8"?><Relationships xmlns="http://schemas.openxmlformats.org/package/2006/relationships"><Relationship Type="http://schemas.openxmlformats.org/officeDocument/2006/relationships/table" Target="/xl/tables/table4.xml" Id="R60396b848ea54622" /></Relationships>
</file>

<file path=xl/worksheets/_rels/sheet5.xml.rels>&#65279;<?xml version="1.0" encoding="utf-8"?><Relationships xmlns="http://schemas.openxmlformats.org/package/2006/relationships"><Relationship Type="http://schemas.openxmlformats.org/officeDocument/2006/relationships/table" Target="/xl/tables/table5.xml" Id="R3a4347fba0a5418c" /></Relationships>
</file>

<file path=xl/worksheets/_rels/sheet6.xml.rels>&#65279;<?xml version="1.0" encoding="utf-8"?><Relationships xmlns="http://schemas.openxmlformats.org/package/2006/relationships"><Relationship Type="http://schemas.openxmlformats.org/officeDocument/2006/relationships/table" Target="/xl/tables/table6.xml" Id="R83b04f8df9d14ba0" /></Relationships>
</file>

<file path=xl/worksheets/_rels/sheet7.xml.rels>&#65279;<?xml version="1.0" encoding="utf-8"?><Relationships xmlns="http://schemas.openxmlformats.org/package/2006/relationships"><Relationship Type="http://schemas.openxmlformats.org/officeDocument/2006/relationships/table" Target="/xl/tables/table7.xml" Id="Ra93c7d521e024e5c" /></Relationships>
</file>

<file path=xl/worksheets/_rels/sheet8.xml.rels>&#65279;<?xml version="1.0" encoding="utf-8"?><Relationships xmlns="http://schemas.openxmlformats.org/package/2006/relationships"><Relationship Type="http://schemas.openxmlformats.org/officeDocument/2006/relationships/table" Target="/xl/tables/table8.xml" Id="R467e3733be984ea1" /></Relationships>
</file>

<file path=xl/worksheets/_rels/sheet9.xml.rels>&#65279;<?xml version="1.0" encoding="utf-8"?><Relationships xmlns="http://schemas.openxmlformats.org/package/2006/relationships"><Relationship Type="http://schemas.openxmlformats.org/officeDocument/2006/relationships/table" Target="/xl/tables/table9.xml" Id="Rb5fb75c388e34085"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32" hidden="0" customWidth="1"/>
    <x:col min="3" max="3" width="50" hidden="0" customWidth="1"/>
    <x:col min="4" max="4" width="10" hidden="0" customWidth="1"/>
    <x:col min="5" max="5" width="10" hidden="0" customWidth="1"/>
    <x:col min="6" max="6" width="10" hidden="0" customWidth="1"/>
    <x:col min="7" max="7" width="12" hidden="0" customWidth="1"/>
    <x:col min="8" max="8" width="12" hidden="0" customWidth="1"/>
    <x:col min="9" max="9" width="12" hidden="0" customWidth="1"/>
  </x:cols>
  <x:sheetData>
    <x:row r="1" ht="34" customHeight="1">
      <x:c r="A1" s="42" t="str">
        <x:v>EOS/JX入荷確定・仕入連携 手動テストチェックリスト</x:v>
      </x:c>
      <x:c r="B1" s="42"/>
      <x:c r="C1" s="42"/>
      <x:c r="D1" s="42"/>
      <x:c r="E1" s="42"/>
      <x:c r="F1" s="42"/>
      <x:c r="G1" s="42"/>
      <x:c r="H1" s="42"/>
      <x:c r="I1" s="42"/>
    </x:row>
    <x:row r="2" ht="34" customHeight="1">
      <x:c r="A2" s="35" t="str">
        <x:v>前提: JXデータの受信は完了済み。ローカルデータを使い、EOS取込/入荷更新、入荷確定、仕入データ連携、単価相違原本保存を確認する。</x:v>
      </x:c>
      <x:c r="B2" s="35"/>
      <x:c r="C2" s="35"/>
      <x:c r="D2" s="35"/>
      <x:c r="E2" s="35"/>
      <x:c r="F2" s="35"/>
      <x:c r="G2" s="35"/>
      <x:c r="H2" s="35"/>
      <x:c r="I2" s="35"/>
    </x:row>
    <x:row r="3">
      <x:c r="A3" s="16"/>
      <x:c r="B3" s="16"/>
      <x:c r="C3" s="16"/>
      <x:c r="D3" s="16"/>
      <x:c r="E3" s="16"/>
      <x:c r="F3" s="16"/>
      <x:c r="G3" s="16"/>
      <x:c r="H3" s="16"/>
      <x:c r="I3" s="16"/>
    </x:row>
    <x:row r="4" ht="24" customHeight="1">
      <x:c r="A4" s="43" t="str">
        <x:v>テスト進捗サマリー</x:v>
      </x:c>
      <x:c r="B4" s="43"/>
      <x:c r="C4" s="43"/>
      <x:c r="D4" s="43"/>
      <x:c r="E4" s="43"/>
      <x:c r="F4" s="43"/>
      <x:c r="G4" s="43"/>
      <x:c r="H4" s="43"/>
      <x:c r="I4" s="43"/>
    </x:row>
    <x:row r="5">
      <x:c r="A5" s="16" t="str">
        <x:v>テスト群</x:v>
      </x:c>
      <x:c r="B5" s="16" t="str">
        <x:v>シート</x:v>
      </x:c>
      <x:c r="C5" s="16" t="str">
        <x:v>件数</x:v>
      </x:c>
      <x:c r="D5" s="16" t="str">
        <x:v>OK</x:v>
      </x:c>
      <x:c r="E5" s="16" t="str">
        <x:v>NG</x:v>
      </x:c>
      <x:c r="F5" s="16" t="str">
        <x:v>保留</x:v>
      </x:c>
      <x:c r="G5" s="16" t="str">
        <x:v>未実施</x:v>
      </x:c>
      <x:c r="H5" s="16" t="str">
        <x:v>対象外</x:v>
      </x:c>
      <x:c r="I5" s="16" t="str">
        <x:v>完了率</x:v>
      </x:c>
    </x:row>
    <x:row r="6">
      <x:c r="A6" s="16" t="str">
        <x:v>入荷確定チェックリスト</x:v>
      </x:c>
      <x:c r="B6" s="16" t="str">
        <x:v>01_入荷確定</x:v>
      </x:c>
      <x:c r="C6" s="44" t="n">
        <x:f>COUNTA('01_入荷確定'!$A$6:$A$205)</x:f>
        <x:v>25</x:v>
      </x:c>
      <x:c r="D6" s="44" t="n">
        <x:f>COUNTIF('01_入荷確定'!$K$6:$K$205,"OK")</x:f>
        <x:v>0</x:v>
      </x:c>
      <x:c r="E6" s="44" t="n">
        <x:f>COUNTIF('01_入荷確定'!$K$6:$K$205,"NG")</x:f>
        <x:v>0</x:v>
      </x:c>
      <x:c r="F6" s="44" t="n">
        <x:f>COUNTIF('01_入荷確定'!$K$6:$K$205,"保留")</x:f>
        <x:v>0</x:v>
      </x:c>
      <x:c r="G6" s="44" t="n">
        <x:f>COUNTIF('01_入荷確定'!$K$6:$K$205,"未実施")</x:f>
        <x:v>25</x:v>
      </x:c>
      <x:c r="H6" s="44" t="n">
        <x:f>COUNTIF('01_入荷確定'!$K$6:$K$205,"対象外")</x:f>
        <x:v>0</x:v>
      </x:c>
      <x:c r="I6" s="45" t="n">
        <x:f>IF(C6=0,"",(D6+E6+F6+H6)/C6)</x:f>
        <x:v>0</x:v>
      </x:c>
    </x:row>
    <x:row r="7">
      <x:c r="A7" s="16" t="str">
        <x:v>仕入データ連携チェックリスト</x:v>
      </x:c>
      <x:c r="B7" s="16" t="str">
        <x:v>02_仕入連携</x:v>
      </x:c>
      <x:c r="C7" s="44" t="n">
        <x:f>COUNTA('02_仕入連携'!$A$6:$A$205)</x:f>
        <x:v>20</x:v>
      </x:c>
      <x:c r="D7" s="44" t="n">
        <x:f>COUNTIF('02_仕入連携'!$K$6:$K$205,"OK")</x:f>
        <x:v>0</x:v>
      </x:c>
      <x:c r="E7" s="44" t="n">
        <x:f>COUNTIF('02_仕入連携'!$K$6:$K$205,"NG")</x:f>
        <x:v>0</x:v>
      </x:c>
      <x:c r="F7" s="44" t="n">
        <x:f>COUNTIF('02_仕入連携'!$K$6:$K$205,"保留")</x:f>
        <x:v>0</x:v>
      </x:c>
      <x:c r="G7" s="44" t="n">
        <x:f>COUNTIF('02_仕入連携'!$K$6:$K$205,"未実施")</x:f>
        <x:v>20</x:v>
      </x:c>
      <x:c r="H7" s="44" t="n">
        <x:f>COUNTIF('02_仕入連携'!$K$6:$K$205,"対象外")</x:f>
        <x:v>0</x:v>
      </x:c>
      <x:c r="I7" s="45" t="n">
        <x:f>IF(C7=0,"",(D7+E7+F7+H7)/C7)</x:f>
        <x:v>0</x:v>
      </x:c>
    </x:row>
    <x:row r="8">
      <x:c r="A8" s="16" t="str">
        <x:v>分納・欠品シナリオ</x:v>
      </x:c>
      <x:c r="B8" s="16" t="str">
        <x:v>03_分納欠品</x:v>
      </x:c>
      <x:c r="C8" s="44" t="n">
        <x:f>COUNTA('03_分納欠品'!$A$6:$A$205)</x:f>
        <x:v>12</x:v>
      </x:c>
      <x:c r="D8" s="44" t="n">
        <x:f>COUNTIF('03_分納欠品'!$K$6:$K$205,"OK")</x:f>
        <x:v>0</x:v>
      </x:c>
      <x:c r="E8" s="44" t="n">
        <x:f>COUNTIF('03_分納欠品'!$K$6:$K$205,"NG")</x:f>
        <x:v>0</x:v>
      </x:c>
      <x:c r="F8" s="44" t="n">
        <x:f>COUNTIF('03_分納欠品'!$K$6:$K$205,"保留")</x:f>
        <x:v>0</x:v>
      </x:c>
      <x:c r="G8" s="44" t="n">
        <x:f>COUNTIF('03_分納欠品'!$K$6:$K$205,"未実施")</x:f>
        <x:v>12</x:v>
      </x:c>
      <x:c r="H8" s="44" t="n">
        <x:f>COUNTIF('03_分納欠品'!$K$6:$K$205,"対象外")</x:f>
        <x:v>0</x:v>
      </x:c>
      <x:c r="I8" s="45" t="n">
        <x:f>IF(C8=0,"",(D8+E8+F8+H8)/C8)</x:f>
        <x:v>0</x:v>
      </x:c>
    </x:row>
    <x:row r="9">
      <x:c r="A9" s="16" t="str">
        <x:v>数量正規化・6缶パック等チェックリスト</x:v>
      </x:c>
      <x:c r="B9" s="16" t="str">
        <x:v>04_数量6缶</x:v>
      </x:c>
      <x:c r="C9" s="44" t="n">
        <x:f>COUNTA('04_数量6缶'!$A$6:$A$205)</x:f>
        <x:v>15</x:v>
      </x:c>
      <x:c r="D9" s="44" t="n">
        <x:f>COUNTIF('04_数量6缶'!$K$6:$K$205,"OK")</x:f>
        <x:v>0</x:v>
      </x:c>
      <x:c r="E9" s="44" t="n">
        <x:f>COUNTIF('04_数量6缶'!$K$6:$K$205,"NG")</x:f>
        <x:v>0</x:v>
      </x:c>
      <x:c r="F9" s="44" t="n">
        <x:f>COUNTIF('04_数量6缶'!$K$6:$K$205,"保留")</x:f>
        <x:v>0</x:v>
      </x:c>
      <x:c r="G9" s="44" t="n">
        <x:f>COUNTIF('04_数量6缶'!$K$6:$K$205,"未実施")</x:f>
        <x:v>15</x:v>
      </x:c>
      <x:c r="H9" s="44" t="n">
        <x:f>COUNTIF('04_数量6缶'!$K$6:$K$205,"対象外")</x:f>
        <x:v>0</x:v>
      </x:c>
      <x:c r="I9" s="45" t="n">
        <x:f>IF(C9=0,"",(D9+E9+F9+H9)/C9)</x:f>
        <x:v>0</x:v>
      </x:c>
    </x:row>
    <x:row r="10">
      <x:c r="A10" s="16" t="str">
        <x:v>単価相違リスト原本保存チェックリスト</x:v>
      </x:c>
      <x:c r="B10" s="16" t="str">
        <x:v>05_単価相違</x:v>
      </x:c>
      <x:c r="C10" s="44" t="n">
        <x:f>COUNTA('05_単価相違'!$A$6:$A$205)</x:f>
        <x:v>16</x:v>
      </x:c>
      <x:c r="D10" s="44" t="n">
        <x:f>COUNTIF('05_単価相違'!$K$6:$K$205,"OK")</x:f>
        <x:v>0</x:v>
      </x:c>
      <x:c r="E10" s="44" t="n">
        <x:f>COUNTIF('05_単価相違'!$K$6:$K$205,"NG")</x:f>
        <x:v>0</x:v>
      </x:c>
      <x:c r="F10" s="44" t="n">
        <x:f>COUNTIF('05_単価相違'!$K$6:$K$205,"保留")</x:f>
        <x:v>0</x:v>
      </x:c>
      <x:c r="G10" s="44" t="n">
        <x:f>COUNTIF('05_単価相違'!$K$6:$K$205,"未実施")</x:f>
        <x:v>16</x:v>
      </x:c>
      <x:c r="H10" s="44" t="n">
        <x:f>COUNTIF('05_単価相違'!$K$6:$K$205,"対象外")</x:f>
        <x:v>0</x:v>
      </x:c>
      <x:c r="I10" s="45" t="n">
        <x:f>IF(C10=0,"",(D10+E10+F10+H10)/C10)</x:f>
        <x:v>0</x:v>
      </x:c>
    </x:row>
    <x:row r="11">
      <x:c r="A11" s="16" t="str">
        <x:v>重複処理・排他制御チェックリスト</x:v>
      </x:c>
      <x:c r="B11" s="16" t="str">
        <x:v>06_重複排他</x:v>
      </x:c>
      <x:c r="C11" s="44" t="n">
        <x:f>COUNTA('06_重複排他'!$A$6:$A$205)</x:f>
        <x:v>12</x:v>
      </x:c>
      <x:c r="D11" s="44" t="n">
        <x:f>COUNTIF('06_重複排他'!$K$6:$K$205,"OK")</x:f>
        <x:v>0</x:v>
      </x:c>
      <x:c r="E11" s="44" t="n">
        <x:f>COUNTIF('06_重複排他'!$K$6:$K$205,"NG")</x:f>
        <x:v>0</x:v>
      </x:c>
      <x:c r="F11" s="44" t="n">
        <x:f>COUNTIF('06_重複排他'!$K$6:$K$205,"保留")</x:f>
        <x:v>0</x:v>
      </x:c>
      <x:c r="G11" s="44" t="n">
        <x:f>COUNTIF('06_重複排他'!$K$6:$K$205,"未実施")</x:f>
        <x:v>12</x:v>
      </x:c>
      <x:c r="H11" s="44" t="n">
        <x:f>COUNTIF('06_重複排他'!$K$6:$K$205,"対象外")</x:f>
        <x:v>0</x:v>
      </x:c>
      <x:c r="I11" s="45" t="n">
        <x:f>IF(C11=0,"",(D11+E11+F11+H11)/C11)</x:f>
        <x:v>0</x:v>
      </x:c>
    </x:row>
    <x:row r="12">
      <x:c r="A12" s="16"/>
      <x:c r="B12" s="16"/>
      <x:c r="C12" s="16"/>
      <x:c r="D12" s="16"/>
      <x:c r="E12" s="16"/>
      <x:c r="F12" s="16"/>
      <x:c r="G12" s="16"/>
      <x:c r="H12" s="16"/>
      <x:c r="I12" s="16"/>
    </x:row>
    <x:row r="13">
      <x:c r="A13" s="16"/>
      <x:c r="B13" s="16"/>
      <x:c r="C13" s="16"/>
      <x:c r="D13" s="16"/>
      <x:c r="E13" s="16"/>
      <x:c r="F13" s="16"/>
      <x:c r="G13" s="16"/>
      <x:c r="H13" s="16"/>
      <x:c r="I13" s="16"/>
    </x:row>
    <x:row r="14">
      <x:c r="A14" s="16"/>
      <x:c r="B14" s="16"/>
      <x:c r="C14" s="16"/>
      <x:c r="D14" s="16"/>
      <x:c r="E14" s="16"/>
      <x:c r="F14" s="16"/>
      <x:c r="G14" s="16"/>
      <x:c r="H14" s="16"/>
      <x:c r="I14" s="16"/>
    </x:row>
    <x:row r="15">
      <x:c r="A15" s="46" t="str">
        <x:v>テストの進め方</x:v>
      </x:c>
      <x:c r="B15" s="46" t="str">
        <x:v>内容</x:v>
      </x:c>
      <x:c r="C15" s="46" t="str">
        <x:v>確認ポイント</x:v>
      </x:c>
      <x:c r="D15" s="16"/>
      <x:c r="E15" s="16"/>
      <x:c r="F15" s="16"/>
      <x:c r="G15" s="16"/>
      <x:c r="H15" s="16"/>
      <x:c r="I15" s="16"/>
    </x:row>
    <x:row r="16">
      <x:c r="A16" s="32" t="str">
        <x:v>1</x:v>
      </x:c>
      <x:c r="B16" s="32" t="str">
        <x:v>テスト対象のJXログID・伝票番号・仕入先・倉庫CDを先に控える。</x:v>
      </x:c>
      <x:c r="C16" s="32" t="str">
        <x:v>01/02/07の該当欄に記録する。</x:v>
      </x:c>
      <x:c r="D16" s="16"/>
      <x:c r="E16" s="16"/>
      <x:c r="F16" s="16"/>
      <x:c r="G16" s="16"/>
      <x:c r="H16" s="16"/>
      <x:c r="I16" s="16"/>
    </x:row>
    <x:row r="17">
      <x:c r="A17" s="32" t="str">
        <x:v>2</x:v>
      </x:c>
      <x:c r="B17" s="32" t="str">
        <x:v>取り込み前にSQL-01〜SQL-04でJXログ、受信ファイル、入荷予定、伝票番号割当の状態を確認する。</x:v>
      </x:c>
      <x:c r="C17" s="32" t="str">
        <x:v>before/after差分を08_結果記録に残す。</x:v>
      </x:c>
      <x:c r="D17" s="16"/>
      <x:c r="E17" s="16"/>
      <x:c r="F17" s="16"/>
      <x:c r="G17" s="16"/>
      <x:c r="H17" s="16"/>
      <x:c r="I17" s="16"/>
    </x:row>
    <x:row r="18">
      <x:c r="A18" s="32" t="str">
        <x:v>3</x:v>
      </x:c>
      <x:c r="B18" s="32" t="str">
        <x:v>JX受信履歴のEOS取込/入荷更新、またはEOSデータ受信設定の手動実行で入荷確定を実施する。</x:v>
      </x:c>
      <x:c r="C18" s="32" t="str">
        <x:v>自動実行では入荷確定後に仕入自動生成まで進む点に注意。</x:v>
      </x:c>
      <x:c r="D18" s="16"/>
      <x:c r="E18" s="16"/>
      <x:c r="F18" s="16"/>
      <x:c r="G18" s="16"/>
      <x:c r="H18" s="16"/>
      <x:c r="I18" s="16"/>
    </x:row>
    <x:row r="19">
      <x:c r="A19" s="32" t="str">
        <x:v>4</x:v>
      </x:c>
      <x:c r="B19" s="32" t="str">
        <x:v>入荷完了画面で数量・伝票番号・発注先・単価・欠品数を確認する。</x:v>
      </x:c>
      <x:c r="C19" s="32" t="str">
        <x:v>仕入連携前であれば修正アクションも確認する。</x:v>
      </x:c>
      <x:c r="D19" s="16"/>
      <x:c r="E19" s="16"/>
      <x:c r="F19" s="16"/>
      <x:c r="G19" s="16"/>
      <x:c r="H19" s="16"/>
      <x:c r="I19" s="16"/>
    </x:row>
    <x:row r="20">
      <x:c r="A20" s="32" t="str">
        <x:v>5</x:v>
      </x:c>
      <x:c r="B20" s="32" t="str">
        <x:v>仕入送信前にSQL-06で単価相違原本、SQL-03でpurchase_queue_id nullを確認する。</x:v>
      </x:c>
      <x:c r="C20" s="32" t="str">
        <x:v>仕入キュー作成後は修正不可。</x:v>
      </x:c>
      <x:c r="D20" s="16"/>
      <x:c r="E20" s="16"/>
      <x:c r="F20" s="16"/>
      <x:c r="G20" s="16"/>
      <x:c r="H20" s="16"/>
      <x:c r="I20" s="16"/>
    </x:row>
    <x:row r="21">
      <x:c r="A21" s="32" t="str">
        <x:v>6</x:v>
      </x:c>
      <x:c r="B21" s="32" t="str">
        <x:v>仕入送信後にSQL-07でpurchase_create_queue.itemsを確認する。</x:v>
      </x:c>
      <x:c r="C21" s="32" t="str">
        <x:v>伝票番号、supplier_code、warehouse_code、details[].quantityを必ず確認。</x:v>
      </x:c>
      <x:c r="D21" s="16"/>
      <x:c r="E21" s="16"/>
      <x:c r="F21" s="16"/>
      <x:c r="G21" s="16"/>
      <x:c r="H21" s="16"/>
      <x:c r="I21" s="16"/>
    </x:row>
    <x:row r="22">
      <x:c r="A22" s="32" t="str">
        <x:v>7</x:v>
      </x:c>
      <x:c r="B22" s="32" t="str">
        <x:v>91番倉庫、EOS送信履歴なし、未割当伝票は自動仕入連携されないことを確認する。</x:v>
      </x:c>
      <x:c r="C22" s="32" t="str">
        <x:v>入荷確定と仕入生成の対象外条件を分けて見る。</x:v>
      </x:c>
      <x:c r="D22" s="16"/>
      <x:c r="E22" s="16"/>
      <x:c r="F22" s="16"/>
      <x:c r="G22" s="16"/>
      <x:c r="H22" s="16"/>
      <x:c r="I22" s="16"/>
    </x:row>
    <x:row r="23">
      <x:c r="A23" s="32" t="str">
        <x:v>8</x:v>
      </x:c>
      <x:c r="B23" s="32" t="str">
        <x:v>NG/保留は08_結果記録へ転記し、再現用のJXログID・伝票番号・SQL結果を残す。</x:v>
      </x:c>
      <x:c r="C23" s="32" t="str">
        <x:v>後続修正の起票単位にする。</x:v>
      </x:c>
      <x:c r="D23" s="16"/>
      <x:c r="E23" s="16"/>
      <x:c r="F23" s="16"/>
      <x:c r="G23" s="16"/>
      <x:c r="H23" s="16"/>
      <x:c r="I23" s="16"/>
    </x:row>
    <x:row r="24">
      <x:c r="A24" s="16"/>
      <x:c r="B24" s="16"/>
      <x:c r="C24" s="16"/>
      <x:c r="D24" s="16"/>
      <x:c r="E24" s="16"/>
      <x:c r="F24" s="16"/>
      <x:c r="G24" s="16"/>
      <x:c r="H24" s="16"/>
      <x:c r="I24" s="16"/>
    </x:row>
    <x:row r="25">
      <x:c r="A25" s="16"/>
      <x:c r="B25" s="16"/>
      <x:c r="C25" s="16"/>
      <x:c r="D25" s="16"/>
      <x:c r="E25" s="16"/>
      <x:c r="F25" s="16"/>
      <x:c r="G25" s="16"/>
      <x:c r="H25" s="16"/>
      <x:c r="I25" s="16"/>
    </x:row>
    <x:row r="26">
      <x:c r="A26" s="46" t="str">
        <x:v>対象画面</x:v>
      </x:c>
      <x:c r="B26" s="46" t="str">
        <x:v>URL/メモ</x:v>
      </x:c>
      <x:c r="C26" s="16"/>
      <x:c r="D26" s="16"/>
      <x:c r="E26" s="16"/>
      <x:c r="F26" s="16"/>
      <x:c r="G26" s="16"/>
      <x:c r="H26" s="16"/>
      <x:c r="I26" s="16"/>
    </x:row>
    <x:row r="27">
      <x:c r="A27" s="21" t="str">
        <x:v>JX受信履歴</x:v>
      </x:c>
      <x:c r="B27" s="21" t="str">
        <x:v>https://wms.sakemaru.test/admin/wms-jx-transmission-logs</x:v>
      </x:c>
      <x:c r="C27" s="16"/>
      <x:c r="D27" s="16"/>
      <x:c r="E27" s="16"/>
      <x:c r="F27" s="16"/>
      <x:c r="G27" s="16"/>
      <x:c r="H27" s="16"/>
      <x:c r="I27" s="16"/>
    </x:row>
    <x:row r="28">
      <x:c r="A28" s="21" t="str">
        <x:v>EOSデータ受信設定</x:v>
      </x:c>
      <x:c r="B28" s="21" t="str">
        <x:v>https://wms.sakemaru.test/admin/wms-eos-incoming-receive-settings</x:v>
      </x:c>
      <x:c r="C28" s="16"/>
      <x:c r="D28" s="16"/>
      <x:c r="E28" s="16"/>
      <x:c r="F28" s="16"/>
      <x:c r="G28" s="16"/>
      <x:c r="H28" s="16"/>
      <x:c r="I28" s="16"/>
    </x:row>
    <x:row r="29">
      <x:c r="A29" s="21" t="str">
        <x:v>入荷予定</x:v>
      </x:c>
      <x:c r="B29" s="21" t="str">
        <x:v>https://wms.sakemaru.test/admin/wms-order-incoming-schedules</x:v>
      </x:c>
      <x:c r="C29" s="16"/>
      <x:c r="D29" s="16"/>
      <x:c r="E29" s="16"/>
      <x:c r="F29" s="16"/>
      <x:c r="G29" s="16"/>
      <x:c r="H29" s="16"/>
      <x:c r="I29" s="16"/>
    </x:row>
    <x:row r="30">
      <x:c r="A30" s="21" t="str">
        <x:v>入荷完了/仕入送信</x:v>
      </x:c>
      <x:c r="B30" s="21" t="str">
        <x:v>https://wms.sakemaru.test/admin/wms-incoming-completed</x:v>
      </x:c>
      <x:c r="C30" s="16"/>
      <x:c r="D30" s="16"/>
      <x:c r="E30" s="16"/>
      <x:c r="F30" s="16"/>
      <x:c r="G30" s="16"/>
      <x:c r="H30" s="16"/>
      <x:c r="I30" s="16"/>
    </x:row>
    <x:row r="31">
      <x:c r="A31" s="21" t="str">
        <x:v>未割当受信伝票</x:v>
      </x:c>
      <x:c r="B31" s="21" t="str">
        <x:v>https://wms.sakemaru.test/admin/wms-jx-unknown-incoming-slips</x:v>
      </x:c>
      <x:c r="C31" s="16"/>
      <x:c r="D31" s="16"/>
      <x:c r="E31" s="16"/>
      <x:c r="F31" s="16"/>
      <x:c r="G31" s="16"/>
      <x:c r="H31" s="16"/>
      <x:c r="I31" s="16"/>
    </x:row>
    <x:row r="32">
      <x:c r="A32" s="16"/>
      <x:c r="B32" s="16"/>
      <x:c r="C32" s="16"/>
      <x:c r="D32" s="16"/>
      <x:c r="E32" s="16"/>
      <x:c r="F32" s="16"/>
      <x:c r="G32" s="16"/>
      <x:c r="H32" s="16"/>
      <x:c r="I32" s="16"/>
    </x:row>
    <x:row r="33">
      <x:c r="A33" s="16"/>
      <x:c r="B33" s="16"/>
      <x:c r="C33" s="16"/>
      <x:c r="D33" s="16"/>
      <x:c r="E33" s="16"/>
      <x:c r="F33" s="16"/>
      <x:c r="G33" s="16"/>
      <x:c r="H33" s="16"/>
      <x:c r="I33" s="16"/>
    </x:row>
    <x:row r="34">
      <x:c r="A34" s="16"/>
      <x:c r="B34" s="16"/>
      <x:c r="C34" s="16"/>
      <x:c r="D34" s="16"/>
      <x:c r="E34" s="16"/>
      <x:c r="F34" s="16"/>
      <x:c r="G34" s="16"/>
      <x:c r="H34" s="16"/>
      <x:c r="I34" s="16"/>
    </x:row>
    <x:row r="35">
      <x:c r="A35" s="16"/>
      <x:c r="B35" s="16"/>
      <x:c r="C35" s="16"/>
      <x:c r="D35" s="16"/>
      <x:c r="E35" s="16"/>
      <x:c r="F35" s="16"/>
      <x:c r="G35" s="16"/>
      <x:c r="H35" s="16"/>
      <x:c r="I35" s="16"/>
    </x:row>
    <x:row r="36">
      <x:c r="A36" s="16"/>
      <x:c r="B36" s="16"/>
      <x:c r="C36" s="16"/>
      <x:c r="D36" s="16"/>
      <x:c r="E36" s="16"/>
      <x:c r="F36" s="16"/>
      <x:c r="G36" s="16"/>
      <x:c r="H36" s="16"/>
      <x:c r="I36" s="16"/>
    </x:row>
    <x:row r="37">
      <x:c r="A37" s="16"/>
      <x:c r="B37" s="16"/>
      <x:c r="C37" s="16"/>
      <x:c r="D37" s="16"/>
      <x:c r="E37" s="16"/>
      <x:c r="F37" s="16"/>
      <x:c r="G37" s="16"/>
      <x:c r="H37" s="16"/>
      <x:c r="I37" s="16"/>
    </x:row>
    <x:row r="38">
      <x:c r="A38" s="16"/>
      <x:c r="B38" s="16"/>
      <x:c r="C38" s="16"/>
      <x:c r="D38" s="16"/>
      <x:c r="E38" s="16"/>
      <x:c r="F38" s="16"/>
      <x:c r="G38" s="16"/>
      <x:c r="H38" s="16"/>
      <x:c r="I38" s="16"/>
    </x:row>
    <x:row r="39">
      <x:c r="A39" s="16"/>
      <x:c r="B39" s="16"/>
      <x:c r="C39" s="16"/>
      <x:c r="D39" s="16"/>
      <x:c r="E39" s="16"/>
      <x:c r="F39" s="16"/>
      <x:c r="G39" s="16"/>
      <x:c r="H39" s="16"/>
      <x:c r="I39" s="16"/>
    </x:row>
    <x:row r="40">
      <x:c r="A40" s="16"/>
      <x:c r="B40" s="16"/>
      <x:c r="C40" s="16"/>
      <x:c r="D40" s="16"/>
      <x:c r="E40" s="16"/>
      <x:c r="F40" s="16"/>
      <x:c r="G40" s="16"/>
      <x:c r="H40" s="16"/>
      <x:c r="I40" s="16"/>
    </x:row>
  </x:sheetData>
  <x:mergeCells>
    <x:mergeCell ref="A1:I1"/>
    <x:mergeCell ref="A2:I2"/>
    <x:mergeCell ref="A4:I4"/>
  </x:mergeCells>
  <x:pageMargins left="0.7" right="0.7" top="0.75" bottom="0.75" header="0.3" footer="0.3"/>
  <x:tableParts count="1">
    <x:tablePart xmlns:r="http://schemas.openxmlformats.org/officeDocument/2006/relationships" r:id="Rf8cadd716f5c4e3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18" hidden="0" customWidth="1"/>
    <x:col min="4" max="4" width="34" hidden="0" customWidth="1"/>
    <x:col min="5" max="5" width="48" hidden="0" customWidth="1"/>
    <x:col min="6" max="6" width="52" hidden="0" customWidth="1"/>
    <x:col min="7" max="7" width="48" hidden="0" customWidth="1"/>
    <x:col min="8" max="8" width="52" hidden="0" customWidth="1"/>
    <x:col min="9" max="9" width="28" hidden="0" customWidth="1"/>
    <x:col min="10" max="10" width="26" hidden="0" customWidth="1"/>
    <x:col min="11" max="11" width="10" hidden="0" customWidth="1"/>
    <x:col min="12" max="12" width="20" hidden="0" customWidth="1"/>
    <x:col min="13" max="13" width="16" hidden="0" customWidth="1"/>
    <x:col min="14" max="14" width="34" hidden="0" customWidth="1"/>
  </x:cols>
  <x:sheetData>
    <x:row r="1" ht="30" customHeight="1">
      <x:c r="A1" s="3" t="str">
        <x:v>入荷確定チェックリスト</x:v>
      </x:c>
      <x:c r="B1" s="3"/>
      <x:c r="C1" s="3"/>
      <x:c r="D1" s="3"/>
      <x:c r="E1" s="3"/>
      <x:c r="F1" s="3"/>
      <x:c r="G1" s="3"/>
      <x:c r="H1" s="3"/>
      <x:c r="I1" s="3"/>
      <x:c r="J1" s="3"/>
      <x:c r="K1" s="3"/>
      <x:c r="L1" s="3"/>
      <x:c r="M1" s="3"/>
      <x:c r="N1" s="3"/>
    </x:row>
    <x:row r="2" ht="42" customHeight="1">
      <x:c r="A2" s="7" t="str">
        <x:v>K列に結果を記録し、L/M/N列に実データ・証跡を残す。JX受信済みのローカルデータを前提に、必要な行だけ実施してよい。</x:v>
      </x:c>
      <x:c r="B2" s="7"/>
      <x:c r="C2" s="7"/>
      <x:c r="D2" s="7"/>
      <x:c r="E2" s="7"/>
      <x:c r="F2" s="7"/>
      <x:c r="G2" s="7"/>
      <x:c r="H2" s="7"/>
      <x:c r="I2" s="7"/>
      <x:c r="J2" s="7"/>
      <x:c r="K2" s="7"/>
      <x:c r="L2" s="7"/>
      <x:c r="M2" s="7"/>
      <x:c r="N2" s="7"/>
    </x:row>
    <x:row r="4" ht="24" customHeight="1">
      <x:c r="A4" s="9" t="str">
        <x:v>ステータス: 未実施 / OK / NG / 保留 / 対象外</x:v>
      </x:c>
      <x:c r="B4" s="9"/>
      <x:c r="C4" s="9"/>
      <x:c r="D4" s="9"/>
      <x:c r="E4" s="9"/>
      <x:c r="F4" s="9"/>
      <x:c r="G4" s="9"/>
      <x:c r="H4" s="9"/>
      <x:c r="I4" s="9"/>
      <x:c r="J4" s="9"/>
      <x:c r="K4" s="9"/>
      <x:c r="L4" s="9"/>
      <x:c r="M4" s="9"/>
      <x:c r="N4" s="9"/>
    </x:row>
    <x:row r="5" ht="34" customHeight="1">
      <x:c r="A5" s="19" t="str">
        <x:v>No</x:v>
      </x:c>
      <x:c r="B5" s="19" t="str">
        <x:v>優先度</x:v>
      </x:c>
      <x:c r="C5" s="19" t="str">
        <x:v>テスト観点</x:v>
      </x:c>
      <x:c r="D5" s="19" t="str">
        <x:v>ケース</x:v>
      </x:c>
      <x:c r="E5" s="19" t="str">
        <x:v>事前条件/対象データ</x:v>
      </x:c>
      <x:c r="F5" s="19" t="str">
        <x:v>操作</x:v>
      </x:c>
      <x:c r="G5" s="19" t="str">
        <x:v>期待結果(UI)</x:v>
      </x:c>
      <x:c r="H5" s="19" t="str">
        <x:v>期待結果(DB)</x:v>
      </x:c>
      <x:c r="I5" s="19" t="str">
        <x:v>確認画面/SQL</x:v>
      </x:c>
      <x:c r="J5" s="19" t="str">
        <x:v>入力する実データ</x:v>
      </x:c>
      <x:c r="K5" s="19" t="str">
        <x:v>結果</x:v>
      </x:c>
      <x:c r="L5" s="19" t="str">
        <x:v>JXログID/伝票</x:v>
      </x:c>
      <x:c r="M5" s="19" t="str">
        <x:v>仕入キューID</x:v>
      </x:c>
      <x:c r="N5" s="19" t="str">
        <x:v>メモ</x:v>
      </x:c>
    </x:row>
    <x:row r="6" ht="70" customHeight="1">
      <x:c r="A6" s="20" t="str">
        <x:v>IC-001</x:v>
      </x:c>
      <x:c r="B6" s="20" t="str">
        <x:v>P0</x:v>
      </x:c>
      <x:c r="C6" s="21" t="str">
        <x:v>基本照合</x:v>
      </x:c>
      <x:c r="D6" s="21" t="str">
        <x:v>EOS送信済み伝票を仕入先・伝票番号で照合できる</x:v>
      </x:c>
      <x:c r="E6" s="21" t="str">
        <x:v>JX受信済み。wms_order_slip_number_assignments に該当 slip_number があり、order_candidate_ids から入荷予定が引ける。</x:v>
      </x:c>
      <x:c r="F6" s="21" t="str">
        <x:v>JX受信履歴で対象ログの「EOS取込/入荷更新」を実行、または自動実行ログから同じ処理を実行する。</x:v>
      </x:c>
      <x:c r="G6" s="21" t="str">
        <x:v>対象の受信ファイルがAPPLIEDになる。入荷完了画面に伝票番号付きで表示される。</x:v>
      </x:c>
      <x:c r="H6" s="21" t="str">
        <x:v>wms_incoming_received_slips.match_status=MATCHED、wms_order_incoming_schedules.status=CONFIRMED、is_receive_matched=1。</x:v>
      </x:c>
      <x:c r="I6" s="21" t="str">
        <x:v>07_SQL確認 SQL-02, SQL-03</x:v>
      </x:c>
      <x:c r="J6" s="21" t="str">
        <x:v>仕入先、伝票番号、JXログIDを記録</x:v>
      </x:c>
      <x:c r="K6" s="20" t="str">
        <x:v>未実施</x:v>
      </x:c>
      <x:c r="L6" s="20" t="str"/>
      <x:c r="M6" s="20" t="str"/>
      <x:c r="N6" s="21" t="str"/>
    </x:row>
    <x:row r="7" ht="70" customHeight="1">
      <x:c r="A7" s="20" t="str">
        <x:v>IC-002</x:v>
      </x:c>
      <x:c r="B7" s="20" t="str">
        <x:v>P0</x:v>
      </x:c>
      <x:c r="C7" s="21" t="str">
        <x:v>仕入先マッピング</x:v>
      </x:c>
      <x:c r="D7" s="21" t="str">
        <x:v>カナカンは受信時の仕入先ではなく送信時割当の仕入先で確定する</x:v>
      </x:c>
      <x:c r="E7" s="21" t="str">
        <x:v>カナカンのJX受信ログ。送信時の slip assignment と入荷予定の supplier_id が確認できる。</x:v>
      </x:c>
      <x:c r="F7" s="21" t="str">
        <x:v>対象ログを取り込み、入荷完了一覧の発注先CD/仕入先関連値を確認する。</x:v>
      </x:c>
      <x:c r="G7" s="21" t="str">
        <x:v>カナカンであることはJX受信データから判断され、仕入先は伝票番号割当から送信時の値を使う。</x:v>
      </x:c>
      <x:c r="H7" s="21" t="str">
        <x:v>wms_order_incoming_schedules.supplier_id が送信時の仕入先に解決され、不明仕入先にならない。</x:v>
      </x:c>
      <x:c r="I7" s="21" t="str">
        <x:v>SQL-04, SQL-11</x:v>
      </x:c>
      <x:c r="J7" s="21" t="str">
        <x:v>カナカンログID、伝票番号</x:v>
      </x:c>
      <x:c r="K7" s="20" t="str">
        <x:v>未実施</x:v>
      </x:c>
      <x:c r="L7" s="20" t="str"/>
      <x:c r="M7" s="20" t="str"/>
      <x:c r="N7" s="21" t="str"/>
    </x:row>
    <x:row r="8" ht="70" customHeight="1">
      <x:c r="A8" s="20" t="str">
        <x:v>IC-003</x:v>
      </x:c>
      <x:c r="B8" s="20" t="str">
        <x:v>P0</x:v>
      </x:c>
      <x:c r="C8" s="21" t="str">
        <x:v>仕入先マッピング</x:v>
      </x:c>
      <x:c r="D8" s="21" t="str">
        <x:v>国分の受信データで伝票番号割当から正しく入荷予定を特定する</x:v>
      </x:c>
      <x:c r="E8" s="21" t="str">
        <x:v>国分のJX受信ログと送信済み伝票番号割当がある。</x:v>
      </x:c>
      <x:c r="F8" s="21" t="str">
        <x:v>対象ログを取り込み、照合結果と入荷完了明細を確認する。</x:v>
      </x:c>
      <x:c r="G8" s="21" t="str">
        <x:v>対象伝票が入荷完了に表示され、発注先・商品が既存予定と一致する。</x:v>
      </x:c>
      <x:c r="H8" s="21" t="str">
        <x:v>matched_schedule_id が既存予定IDを指し、NO_ASSIGNMENT/NOT_FOUNDにならない。</x:v>
      </x:c>
      <x:c r="I8" s="21" t="str">
        <x:v>SQL-02, SQL-03, SQL-04</x:v>
      </x:c>
      <x:c r="J8" s="21" t="str">
        <x:v>国分ログID、伝票番号</x:v>
      </x:c>
      <x:c r="K8" s="20" t="str">
        <x:v>未実施</x:v>
      </x:c>
      <x:c r="L8" s="20" t="str"/>
      <x:c r="M8" s="20" t="str"/>
      <x:c r="N8" s="21" t="str"/>
    </x:row>
    <x:row r="9" ht="70" customHeight="1">
      <x:c r="A9" s="20" t="str">
        <x:v>IC-004</x:v>
      </x:c>
      <x:c r="B9" s="20" t="str">
        <x:v>P0</x:v>
      </x:c>
      <x:c r="C9" s="21" t="str">
        <x:v>仕入先マッピング</x:v>
      </x:c>
      <x:c r="D9" s="21" t="str">
        <x:v>三菱食品の受信データで伝票番号割当から正しく入荷予定を特定する</x:v>
      </x:c>
      <x:c r="E9" s="21" t="str">
        <x:v>三菱食品のJX受信ログと送信済み伝票番号割当がある。</x:v>
      </x:c>
      <x:c r="F9" s="21" t="str">
        <x:v>対象ログを取り込み、照合結果と入荷完了明細を確認する。</x:v>
      </x:c>
      <x:c r="G9" s="21" t="str">
        <x:v>対象伝票が入荷完了に表示され、発注先・商品が既存予定と一致する。</x:v>
      </x:c>
      <x:c r="H9" s="21" t="str">
        <x:v>matched_schedule_id が既存予定IDを指し、NO_ASSIGNMENT/NOT_FOUNDにならない。</x:v>
      </x:c>
      <x:c r="I9" s="21" t="str">
        <x:v>SQL-02, SQL-03, SQL-04</x:v>
      </x:c>
      <x:c r="J9" s="21" t="str">
        <x:v>三菱食品ログID、伝票番号</x:v>
      </x:c>
      <x:c r="K9" s="20" t="str">
        <x:v>未実施</x:v>
      </x:c>
      <x:c r="L9" s="20" t="str"/>
      <x:c r="M9" s="20" t="str"/>
      <x:c r="N9" s="21" t="str"/>
    </x:row>
    <x:row r="10" ht="70" customHeight="1">
      <x:c r="A10" s="20" t="str">
        <x:v>IC-005</x:v>
      </x:c>
      <x:c r="B10" s="20" t="str">
        <x:v>P0</x:v>
      </x:c>
      <x:c r="C10" s="21" t="str">
        <x:v>仕入先マッピング</x:v>
      </x:c>
      <x:c r="D10" s="21" t="str">
        <x:v>北陸コカ・コーラの受信データで伝票番号割当から正しく入荷予定を特定する</x:v>
      </x:c>
      <x:c r="E10" s="21" t="str">
        <x:v>北陸コカ・コーラのJX受信ログと送信済み伝票番号割当がある。</x:v>
      </x:c>
      <x:c r="F10" s="21" t="str">
        <x:v>対象ログを取り込み、照合結果と入荷完了明細を確認する。</x:v>
      </x:c>
      <x:c r="G10" s="21" t="str">
        <x:v>対象伝票が入荷完了に表示され、発注先・商品が既存予定と一致する。</x:v>
      </x:c>
      <x:c r="H10" s="21" t="str">
        <x:v>matched_schedule_id が既存予定IDを指し、NO_ASSIGNMENT/NOT_FOUNDにならない。</x:v>
      </x:c>
      <x:c r="I10" s="21" t="str">
        <x:v>SQL-02, SQL-03, SQL-04</x:v>
      </x:c>
      <x:c r="J10" s="21" t="str">
        <x:v>北陸コカ・コーラログID、伝票番号</x:v>
      </x:c>
      <x:c r="K10" s="20" t="str">
        <x:v>未実施</x:v>
      </x:c>
      <x:c r="L10" s="20" t="str"/>
      <x:c r="M10" s="20" t="str"/>
      <x:c r="N10" s="21" t="str"/>
    </x:row>
    <x:row r="11" ht="70" customHeight="1">
      <x:c r="A11" s="20" t="str">
        <x:v>IC-006</x:v>
      </x:c>
      <x:c r="B11" s="20" t="str">
        <x:v>P0</x:v>
      </x:c>
      <x:c r="C11" s="21" t="str">
        <x:v>一括適用</x:v>
      </x:c>
      <x:c r="D11" s="21" t="str">
        <x:v>同一JXファイルに未割当伝票が混在しても一致分は適用される</x:v>
      </x:c>
      <x:c r="E11" s="21" t="str">
        <x:v>1ファイル内に送信割当あり伝票と割当なし伝票が混在している。</x:v>
      </x:c>
      <x:c r="F11" s="21" t="str">
        <x:v>対象ログを取り込む。</x:v>
      </x:c>
      <x:c r="G11" s="21" t="str">
        <x:v>一致した伝票は入荷完了になる。未割当伝票はJX未割当受信伝票の確認対象に残る。</x:v>
      </x:c>
      <x:c r="H11" s="21" t="str">
        <x:v>file.status は一致分適用後に終端化される。未割当slipはNO_ASSIGNMENT、適用済みschedule_idsは記録される。</x:v>
      </x:c>
      <x:c r="I11" s="21" t="str">
        <x:v>SQL-02, SQL-08, SQL-09</x:v>
      </x:c>
      <x:c r="J11" s="21" t="str">
        <x:v>混在ファイルのログID</x:v>
      </x:c>
      <x:c r="K11" s="20" t="str">
        <x:v>未実施</x:v>
      </x:c>
      <x:c r="L11" s="20" t="str"/>
      <x:c r="M11" s="20" t="str"/>
      <x:c r="N11" s="21" t="str"/>
    </x:row>
    <x:row r="12" ht="70" customHeight="1">
      <x:c r="A12" s="20" t="str">
        <x:v>IC-007</x:v>
      </x:c>
      <x:c r="B12" s="20" t="str">
        <x:v>P0</x:v>
      </x:c>
      <x:c r="C12" s="21" t="str">
        <x:v>未割当</x:v>
      </x:c>
      <x:c r="D12" s="21" t="str">
        <x:v>受信伝票番号が送信時割当に存在しない場合は自動確定しない</x:v>
      </x:c>
      <x:c r="E12" s="21" t="str">
        <x:v>wms_order_slip_number_assignments に存在しない slip_number の受信データ。</x:v>
      </x:c>
      <x:c r="F12" s="21" t="str">
        <x:v>対象ログを取り込む。</x:v>
      </x:c>
      <x:c r="G12" s="21" t="str">
        <x:v>JX受信履歴または未割当一覧で確認できる。入荷完了には作成されない。</x:v>
      </x:c>
      <x:c r="H12" s="21" t="str">
        <x:v>slip.match_status=NO_ASSIGNMENT、detail.match_status=NO_ASSIGNMENT、wms_incoming_import_errors にEOS_ASSIGNMENT_NOT_FOUNDが残る。</x:v>
      </x:c>
      <x:c r="I12" s="21" t="str">
        <x:v>SQL-02, SQL-09</x:v>
      </x:c>
      <x:c r="J12" s="21" t="str">
        <x:v>未割当伝票番号</x:v>
      </x:c>
      <x:c r="K12" s="20" t="str">
        <x:v>未実施</x:v>
      </x:c>
      <x:c r="L12" s="20" t="str"/>
      <x:c r="M12" s="20" t="str"/>
      <x:c r="N12" s="21" t="str"/>
    </x:row>
    <x:row r="13" ht="70" customHeight="1">
      <x:c r="A13" s="20" t="str">
        <x:v>IC-008</x:v>
      </x:c>
      <x:c r="B13" s="20" t="str">
        <x:v>P1</x:v>
      </x:c>
      <x:c r="C13" s="21" t="str">
        <x:v>仕入先不一致</x:v>
      </x:c>
      <x:c r="D13" s="21" t="str">
        <x:v>送信時割当の仕入先と受信Bレコードの仕入先が一致しない場合は適用しない</x:v>
      </x:c>
      <x:c r="E13" s="21" t="str">
        <x:v>意図的に仕入先が一致しない伝票、または本番由来で不一致があるデータ。</x:v>
      </x:c>
      <x:c r="F13" s="21" t="str">
        <x:v>対象ログを取り込む。</x:v>
      </x:c>
      <x:c r="G13" s="21" t="str">
        <x:v>対象伝票は入荷完了にならず、エラーとして見える。</x:v>
      </x:c>
      <x:c r="H13" s="21" t="str">
        <x:v>wms_incoming_import_errors.error_code=EOS_CONTRACTOR_MISMATCH。scheduleはPENDING/PARTIALのまま。</x:v>
      </x:c>
      <x:c r="I13" s="21" t="str">
        <x:v>SQL-02, SQL-03</x:v>
      </x:c>
      <x:c r="J13" s="21" t="str">
        <x:v>伝票番号、受信仕入先コード</x:v>
      </x:c>
      <x:c r="K13" s="20" t="str">
        <x:v>未実施</x:v>
      </x:c>
      <x:c r="L13" s="20" t="str"/>
      <x:c r="M13" s="20" t="str"/>
      <x:c r="N13" s="21" t="str"/>
    </x:row>
    <x:row r="14" ht="70" customHeight="1">
      <x:c r="A14" s="20" t="str">
        <x:v>IC-009</x:v>
      </x:c>
      <x:c r="B14" s="20" t="str">
        <x:v>P1</x:v>
      </x:c>
      <x:c r="C14" s="21" t="str">
        <x:v>商品不一致</x:v>
      </x:c>
      <x:c r="D14" s="21" t="str">
        <x:v>JAN/商品CDから商品が見つからない明細は適用しない</x:v>
      </x:c>
      <x:c r="E14" s="21" t="str">
        <x:v>商品マスタ・検索コードに存在しないJAN/商品CDを含む受信データ。</x:v>
      </x:c>
      <x:c r="F14" s="21" t="str">
        <x:v>対象ログを取り込む。</x:v>
      </x:c>
      <x:c r="G14" s="21" t="str">
        <x:v>対象明細がエラー扱いになり、入荷確定されない。</x:v>
      </x:c>
      <x:c r="H14" s="21" t="str">
        <x:v>detail.match_status=NOT_FOUND、wms_incoming_import_errors.error_code=ITEM_NOT_FOUND。</x:v>
      </x:c>
      <x:c r="I14" s="21" t="str">
        <x:v>SQL-02, SQL-12</x:v>
      </x:c>
      <x:c r="J14" s="21" t="str">
        <x:v>JAN、商品CD</x:v>
      </x:c>
      <x:c r="K14" s="20" t="str">
        <x:v>未実施</x:v>
      </x:c>
      <x:c r="L14" s="20" t="str"/>
      <x:c r="M14" s="20" t="str"/>
      <x:c r="N14" s="21" t="str"/>
    </x:row>
    <x:row r="15" ht="70" customHeight="1">
      <x:c r="A15" s="20" t="str">
        <x:v>IC-010</x:v>
      </x:c>
      <x:c r="B15" s="20" t="str">
        <x:v>P0</x:v>
      </x:c>
      <x:c r="C15" s="21" t="str">
        <x:v>数量</x:v>
      </x:c>
      <x:c r="D15" s="21" t="str">
        <x:v>完全納品は入荷数量・出荷実績・欠品数が一致する</x:v>
      </x:c>
      <x:c r="E15" s="21" t="str">
        <x:v>予定数量と受信総バラ数が同等に換算できる明細。</x:v>
      </x:c>
      <x:c r="F15" s="21" t="str">
        <x:v>取り込み後に入荷完了画面とDBを確認する。</x:v>
      </x:c>
      <x:c r="G15" s="21" t="str">
        <x:v>入荷実績が予定と一致し、欠品数は0。</x:v>
      </x:c>
      <x:c r="H15" s="21" t="str">
        <x:v>status=CONFIRMED、received_quantity=shipped_quantity、shortage_quantity=0。</x:v>
      </x:c>
      <x:c r="I15" s="21" t="str">
        <x:v>SQL-03, SQL-12</x:v>
      </x:c>
      <x:c r="J15" s="21" t="str">
        <x:v>予定数量、受信数量</x:v>
      </x:c>
      <x:c r="K15" s="20" t="str">
        <x:v>未実施</x:v>
      </x:c>
      <x:c r="L15" s="20" t="str"/>
      <x:c r="M15" s="20" t="str"/>
      <x:c r="N15" s="21" t="str"/>
    </x:row>
    <x:row r="16" ht="70" customHeight="1">
      <x:c r="A16" s="20" t="str">
        <x:v>IC-011</x:v>
      </x:c>
      <x:c r="B16" s="20" t="str">
        <x:v>P0</x:v>
      </x:c>
      <x:c r="C16" s="21" t="str">
        <x:v>分納/一部納品</x:v>
      </x:c>
      <x:c r="D16" s="21" t="str">
        <x:v>受信数量が予定より少ない場合は欠品付きの入荷確定になる</x:v>
      </x:c>
      <x:c r="E16" s="21" t="str">
        <x:v>同一伝票・同一商品で受信総バラ数が予定総バラ数より少ない。</x:v>
      </x:c>
      <x:c r="F16" s="21" t="str">
        <x:v>対象ログを取り込む。</x:v>
      </x:c>
      <x:c r="G16" s="21" t="str">
        <x:v>入荷完了に表示され、欠品数が強調される。</x:v>
      </x:c>
      <x:c r="H16" s="21" t="str">
        <x:v>status=CONFIRMED、received_quantity=shipped_quantity、shortage_quantity=expected_quantity-received_quantity。</x:v>
      </x:c>
      <x:c r="I16" s="21" t="str">
        <x:v>SQL-03</x:v>
      </x:c>
      <x:c r="J16" s="21" t="str">
        <x:v>予定数量、実入荷数量</x:v>
      </x:c>
      <x:c r="K16" s="20" t="str">
        <x:v>未実施</x:v>
      </x:c>
      <x:c r="L16" s="20" t="str"/>
      <x:c r="M16" s="20" t="str"/>
      <x:c r="N16" s="21" t="str"/>
    </x:row>
    <x:row r="17" ht="70" customHeight="1">
      <x:c r="A17" s="20" t="str">
        <x:v>IC-012</x:v>
      </x:c>
      <x:c r="B17" s="20" t="str">
        <x:v>P0</x:v>
      </x:c>
      <x:c r="C17" s="21" t="str">
        <x:v>欠品</x:v>
      </x:c>
      <x:c r="D17" s="21" t="str">
        <x:v>ケース数0かつバラ数0の欠品行は欠品完了として扱う</x:v>
      </x:c>
      <x:c r="E17" s="21" t="str">
        <x:v>Dレコードでcase_quantity=0、piece_quantity=0の明細。</x:v>
      </x:c>
      <x:c r="F17" s="21" t="str">
        <x:v>対象ログを取り込む。</x:v>
      </x:c>
      <x:c r="G17" s="21" t="str">
        <x:v>入荷完了に欠品数ありで表示される。</x:v>
      </x:c>
      <x:c r="H17" s="21" t="str">
        <x:v>detail.is_shortage=1、detail.match_status=SHORTAGE、schedule.received_quantity=0、shortage_quantity=expected_quantity。</x:v>
      </x:c>
      <x:c r="I17" s="21" t="str">
        <x:v>SQL-02, SQL-03</x:v>
      </x:c>
      <x:c r="J17" s="21" t="str">
        <x:v>欠品伝票番号</x:v>
      </x:c>
      <x:c r="K17" s="20" t="str">
        <x:v>未実施</x:v>
      </x:c>
      <x:c r="L17" s="20" t="str"/>
      <x:c r="M17" s="20" t="str"/>
      <x:c r="N17" s="21" t="str"/>
    </x:row>
    <x:row r="18" ht="70" customHeight="1">
      <x:c r="A18" s="20" t="str">
        <x:v>IC-013</x:v>
      </x:c>
      <x:c r="B18" s="20" t="str">
        <x:v>P1</x:v>
      </x:c>
      <x:c r="C18" s="21" t="str">
        <x:v>過納</x:v>
      </x:c>
      <x:c r="D18" s="21" t="str">
        <x:v>予定より多い受信数量でも欠品は0になり、受信数量が保存される</x:v>
      </x:c>
      <x:c r="E18" s="21" t="str">
        <x:v>受信総バラ数が予定総バラ数より多い。</x:v>
      </x:c>
      <x:c r="F18" s="21" t="str">
        <x:v>対象ログを取り込む。</x:v>
      </x:c>
      <x:c r="G18" s="21" t="str">
        <x:v>入荷実績が受信数量で表示され、欠品は0。</x:v>
      </x:c>
      <x:c r="H18" s="21" t="str">
        <x:v>received_quantity/shipped_quantity が受信数量換算値、shortage_quantity=0。</x:v>
      </x:c>
      <x:c r="I18" s="21" t="str">
        <x:v>SQL-03</x:v>
      </x:c>
      <x:c r="J18" s="21" t="str">
        <x:v>予定数量、受信数量</x:v>
      </x:c>
      <x:c r="K18" s="20" t="str">
        <x:v>未実施</x:v>
      </x:c>
      <x:c r="L18" s="20" t="str"/>
      <x:c r="M18" s="20" t="str"/>
      <x:c r="N18" s="21" t="str"/>
    </x:row>
    <x:row r="19" ht="70" customHeight="1">
      <x:c r="A19" s="20" t="str">
        <x:v>IC-014</x:v>
      </x:c>
      <x:c r="B19" s="20" t="str">
        <x:v>P0</x:v>
      </x:c>
      <x:c r="C19" s="21" t="str">
        <x:v>6缶パック</x:v>
      </x:c>
      <x:c r="D19" s="21" t="str">
        <x:v>6缶パックの数量が総バラ数からケース単位へ戻る</x:v>
      </x:c>
      <x:c r="E19" s="21" t="str">
        <x:v>例: pack=6、case=8、piece=0、総バラ48。入荷予定はCASE数量8。</x:v>
      </x:c>
      <x:c r="F19" s="21" t="str">
        <x:v>対象ログを取り込む。</x:v>
      </x:c>
      <x:c r="G19" s="21" t="str">
        <x:v>入荷完了のケース=8、総バラ数=48、バラ=-/0。</x:v>
      </x:c>
      <x:c r="H19" s="21" t="str">
        <x:v>schedule.quantity_type=CASE、expected_quantity=8、received_quantity=8、shipped_quantity=8。</x:v>
      </x:c>
      <x:c r="I19" s="21" t="str">
        <x:v>SQL-03, SQL-12</x:v>
      </x:c>
      <x:c r="J19" s="21" t="str">
        <x:v>6缶JAN、capacity_case</x:v>
      </x:c>
      <x:c r="K19" s="20" t="str">
        <x:v>未実施</x:v>
      </x:c>
      <x:c r="L19" s="20" t="str"/>
      <x:c r="M19" s="20" t="str"/>
      <x:c r="N19" s="21" t="str"/>
    </x:row>
    <x:row r="20" ht="70" customHeight="1">
      <x:c r="A20" s="20" t="str">
        <x:v>IC-015</x:v>
      </x:c>
      <x:c r="B20" s="20" t="str">
        <x:v>P0</x:v>
      </x:c>
      <x:c r="C20" s="21" t="str">
        <x:v>4缶パック</x:v>
      </x:c>
      <x:c r="D20" s="21" t="str">
        <x:v>4缶パックも発注単位数量を使って総バラ数へ正規化される</x:v>
      </x:c>
      <x:c r="E20" s="21" t="str">
        <x:v>item_quantity_information.quantity=4に該当するJAN。</x:v>
      </x:c>
      <x:c r="F20" s="21" t="str">
        <x:v>対象ログを取り込む。</x:v>
      </x:c>
      <x:c r="G20" s="21" t="str">
        <x:v>総バラ数が受信 raw 数量×4 で表示される。</x:v>
      </x:c>
      <x:c r="H20" s="21" t="str">
        <x:v>wms_incoming_received_details.total_quantity と wms_jx_eos_lines.total_quantity が同じ正規化値。</x:v>
      </x:c>
      <x:c r="I20" s="21" t="str">
        <x:v>SQL-05, SQL-12</x:v>
      </x:c>
      <x:c r="J20" s="21" t="str">
        <x:v>4缶JAN</x:v>
      </x:c>
      <x:c r="K20" s="20" t="str">
        <x:v>未実施</x:v>
      </x:c>
      <x:c r="L20" s="20" t="str"/>
      <x:c r="M20" s="20" t="str"/>
      <x:c r="N20" s="21" t="str"/>
    </x:row>
    <x:row r="21" ht="70" customHeight="1">
      <x:c r="A21" s="20" t="str">
        <x:v>IC-016</x:v>
      </x:c>
      <x:c r="B21" s="20" t="str">
        <x:v>P1</x:v>
      </x:c>
      <x:c r="C21" s="21" t="str">
        <x:v>数量単位</x:v>
      </x:c>
      <x:c r="D21" s="21" t="str">
        <x:v>ケース予定にバラ混在があってもcapacityで割り切れる場合はケース換算する</x:v>
      </x:c>
      <x:c r="E21" s="21" t="str">
        <x:v>CASE予定、受信にcase/piece混在、総バラ数がcapacity_caseで割り切れる。</x:v>
      </x:c>
      <x:c r="F21" s="21" t="str">
        <x:v>対象ログを取り込む。</x:v>
      </x:c>
      <x:c r="G21" s="21" t="str">
        <x:v>入荷完了はケース数量で表示される。</x:v>
      </x:c>
      <x:c r="H21" s="21" t="str">
        <x:v>quantity_type=CASE、received_quantity=総バラ数/capacity_case。</x:v>
      </x:c>
      <x:c r="I21" s="21" t="str">
        <x:v>SQL-03, SQL-12</x:v>
      </x:c>
      <x:c r="J21" s="21" t="str">
        <x:v>capacity_case、総バラ数</x:v>
      </x:c>
      <x:c r="K21" s="20" t="str">
        <x:v>未実施</x:v>
      </x:c>
      <x:c r="L21" s="20" t="str"/>
      <x:c r="M21" s="20" t="str"/>
      <x:c r="N21" s="21" t="str"/>
    </x:row>
    <x:row r="22" ht="70" customHeight="1">
      <x:c r="A22" s="20" t="str">
        <x:v>IC-017</x:v>
      </x:c>
      <x:c r="B22" s="20" t="str">
        <x:v>P1</x:v>
      </x:c>
      <x:c r="C22" s="21" t="str">
        <x:v>数量単位</x:v>
      </x:c>
      <x:c r="D22" s="21" t="str">
        <x:v>ケース予定に端数バラがある場合はPIECEに切り替えて保存する</x:v>
      </x:c>
      <x:c r="E22" s="21" t="str">
        <x:v>CASE予定、総バラ数がcapacity_caseで割り切れない。</x:v>
      </x:c>
      <x:c r="F22" s="21" t="str">
        <x:v>対象ログを取り込む。</x:v>
      </x:c>
      <x:c r="G22" s="21" t="str">
        <x:v>入荷完了の総バラ数・バラ数が矛盾しない。</x:v>
      </x:c>
      <x:c r="H22" s="21" t="str">
        <x:v>quantity_type=PIECE、expected_quantity=予定総バラ数、received_quantity=受信総バラ数。</x:v>
      </x:c>
      <x:c r="I22" s="21" t="str">
        <x:v>SQL-03, SQL-12</x:v>
      </x:c>
      <x:c r="J22" s="21" t="str">
        <x:v>capacity_case、端数数量</x:v>
      </x:c>
      <x:c r="K22" s="20" t="str">
        <x:v>未実施</x:v>
      </x:c>
      <x:c r="L22" s="20" t="str"/>
      <x:c r="M22" s="20" t="str"/>
      <x:c r="N22" s="21" t="str"/>
    </x:row>
    <x:row r="23" ht="70" customHeight="1">
      <x:c r="A23" s="20" t="str">
        <x:v>IC-018</x:v>
      </x:c>
      <x:c r="B23" s="20" t="str">
        <x:v>P0</x:v>
      </x:c>
      <x:c r="C23" s="21" t="str">
        <x:v>単価</x:v>
      </x:c>
      <x:c r="D23" s="21" t="str">
        <x:v>ケース単価で返った受信単価がpartner_case_priceへ保存される</x:v>
      </x:c>
      <x:c r="E23" s="21" t="str">
        <x:v>Dレコードのcase_quantity &gt; 0。</x:v>
      </x:c>
      <x:c r="F23" s="21" t="str">
        <x:v>対象ログを取り込む。</x:v>
      </x:c>
      <x:c r="G23" s="21" t="str">
        <x:v>仕入単価表示がケース単価になる。</x:v>
      </x:c>
      <x:c r="H23" s="21" t="str">
        <x:v>price_type=CASE、partner_case_price=d_unit_price/100、partner_unit_price is null。</x:v>
      </x:c>
      <x:c r="I23" s="21" t="str">
        <x:v>SQL-03, SQL-06</x:v>
      </x:c>
      <x:c r="J23" s="21" t="str">
        <x:v>受信単価</x:v>
      </x:c>
      <x:c r="K23" s="20" t="str">
        <x:v>未実施</x:v>
      </x:c>
      <x:c r="L23" s="20" t="str"/>
      <x:c r="M23" s="20" t="str"/>
      <x:c r="N23" s="21" t="str"/>
    </x:row>
    <x:row r="24" ht="70" customHeight="1">
      <x:c r="A24" s="20" t="str">
        <x:v>IC-019</x:v>
      </x:c>
      <x:c r="B24" s="20" t="str">
        <x:v>P0</x:v>
      </x:c>
      <x:c r="C24" s="21" t="str">
        <x:v>単価</x:v>
      </x:c>
      <x:c r="D24" s="21" t="str">
        <x:v>バラ単価で返った受信単価がpartner_unit_priceへ保存される</x:v>
      </x:c>
      <x:c r="E24" s="21" t="str">
        <x:v>Dレコードのcase_quantity=0、piece_quantity&gt;0。</x:v>
      </x:c>
      <x:c r="F24" s="21" t="str">
        <x:v>対象ログを取り込む。</x:v>
      </x:c>
      <x:c r="G24" s="21" t="str">
        <x:v>仕入単価表示がバラ単価になる。</x:v>
      </x:c>
      <x:c r="H24" s="21" t="str">
        <x:v>price_type=PIECE、partner_unit_price=d_unit_price/100、partner_case_price is null。</x:v>
      </x:c>
      <x:c r="I24" s="21" t="str">
        <x:v>SQL-03, SQL-06</x:v>
      </x:c>
      <x:c r="J24" s="21" t="str">
        <x:v>受信単価</x:v>
      </x:c>
      <x:c r="K24" s="20" t="str">
        <x:v>未実施</x:v>
      </x:c>
      <x:c r="L24" s="20" t="str"/>
      <x:c r="M24" s="20" t="str"/>
      <x:c r="N24" s="21" t="str"/>
    </x:row>
    <x:row r="25" ht="70" customHeight="1">
      <x:c r="A25" s="20" t="str">
        <x:v>IC-020</x:v>
      </x:c>
      <x:c r="B25" s="20" t="str">
        <x:v>P0</x:v>
      </x:c>
      <x:c r="C25" s="21" t="str">
        <x:v>単価相違原本</x:v>
      </x:c>
      <x:c r="D25" s="21" t="str">
        <x:v>入荷確定時に単価相違リスト用の原本データが登録される</x:v>
      </x:c>
      <x:c r="E25" s="21" t="str">
        <x:v>一致または一部/欠品で matched_schedule_id があるJX明細。</x:v>
      </x:c>
      <x:c r="F25" s="21" t="str">
        <x:v>取り込み後に価格チェック原本テーブルを確認する。</x:v>
      </x:c>
      <x:c r="G25" s="21" t="str">
        <x:v>画面側表示はsakemaru-ai-core担当。WMS側では原本保存のみ確認。</x:v>
      </x:c>
      <x:c r="H25" s="21" t="str">
        <x:v>wms_incoming_price_check_sources に source_key 一意で行が作成され、received/schedule/sent/eos payload が残る。</x:v>
      </x:c>
      <x:c r="I25" s="21" t="str">
        <x:v>SQL-06</x:v>
      </x:c>
      <x:c r="J25" s="21" t="str">
        <x:v>schedule_id、detail_id</x:v>
      </x:c>
      <x:c r="K25" s="20" t="str">
        <x:v>未実施</x:v>
      </x:c>
      <x:c r="L25" s="20" t="str"/>
      <x:c r="M25" s="20" t="str"/>
      <x:c r="N25" s="21" t="str"/>
    </x:row>
    <x:row r="26" ht="70" customHeight="1">
      <x:c r="A26" s="20" t="str">
        <x:v>IC-021</x:v>
      </x:c>
      <x:c r="B26" s="20" t="str">
        <x:v>P1</x:v>
      </x:c>
      <x:c r="C26" s="21" t="str">
        <x:v>冪等性</x:v>
      </x:c>
      <x:c r="D26" s="21" t="str">
        <x:v>同じJXログを2回処理しても入荷予定が二重更新されない</x:v>
      </x:c>
      <x:c r="E26" s="21" t="str">
        <x:v>一度APPLIEDになった受信ファイル、または同一message_id/raw_sha256。</x:v>
      </x:c>
      <x:c r="F26" s="21" t="str">
        <x:v>同じ対象ログで再実行する。</x:v>
      </x:c>
      <x:c r="G26" s="21" t="str">
        <x:v>既に適用済みとしてスキップされる。通知またはログで確認できる。</x:v>
      </x:c>
      <x:c r="H26" s="21" t="str">
        <x:v>scheduleのreceived_quantity/purchase_queue_idが重複更新されず、price_check_sourcesもsource_keyで1行。</x:v>
      </x:c>
      <x:c r="I26" s="21" t="str">
        <x:v>SQL-01, SQL-03, SQL-06</x:v>
      </x:c>
      <x:c r="J26" s="21" t="str">
        <x:v>同一ログID</x:v>
      </x:c>
      <x:c r="K26" s="20" t="str">
        <x:v>未実施</x:v>
      </x:c>
      <x:c r="L26" s="20" t="str"/>
      <x:c r="M26" s="20" t="str"/>
      <x:c r="N26" s="21" t="str"/>
    </x:row>
    <x:row r="27" ht="70" customHeight="1">
      <x:c r="A27" s="20" t="str">
        <x:v>IC-022</x:v>
      </x:c>
      <x:c r="B27" s="20" t="str">
        <x:v>P1</x:v>
      </x:c>
      <x:c r="C27" s="21" t="str">
        <x:v>スキップ</x:v>
      </x:c>
      <x:c r="D27" s="21" t="str">
        <x:v>リリース前EOS受信データとしてスキップ済みのものは適用されない</x:v>
      </x:c>
      <x:c r="E27" s="21" t="str">
        <x:v>STATUS_SKIPPEDのwms_incoming_received_files。</x:v>
      </x:c>
      <x:c r="F27" s="21" t="str">
        <x:v>対象ログまたはファイルを確認する。</x:v>
      </x:c>
      <x:c r="G27" s="21" t="str">
        <x:v>処理対象外として扱われ、入荷予定更新されない。</x:v>
      </x:c>
      <x:c r="H27" s="21" t="str">
        <x:v>file.status=SKIPPED、workflow terminal。scheduleの確定値は変わらない。</x:v>
      </x:c>
      <x:c r="I27" s="21" t="str">
        <x:v>SQL-01, SQL-02, SQL-03</x:v>
      </x:c>
      <x:c r="J27" s="21" t="str">
        <x:v>ファイルID</x:v>
      </x:c>
      <x:c r="K27" s="20" t="str">
        <x:v>未実施</x:v>
      </x:c>
      <x:c r="L27" s="20" t="str"/>
      <x:c r="M27" s="20" t="str"/>
      <x:c r="N27" s="21" t="str"/>
    </x:row>
    <x:row r="28" ht="70" customHeight="1">
      <x:c r="A28" s="20" t="str">
        <x:v>IC-023</x:v>
      </x:c>
      <x:c r="B28" s="20" t="str">
        <x:v>P1</x:v>
      </x:c>
      <x:c r="C28" s="21" t="str">
        <x:v>91番倉庫</x:v>
      </x:c>
      <x:c r="D28" s="21" t="str">
        <x:v>91番倉庫も入荷確定までは自動で実施される</x:v>
      </x:c>
      <x:c r="E28" s="21" t="str">
        <x:v>warehouse.code=91のEOS送信済み入荷予定。</x:v>
      </x:c>
      <x:c r="F28" s="21" t="str">
        <x:v>自動実行または対象ログを取り込む。</x:v>
      </x:c>
      <x:c r="G28" s="21" t="str">
        <x:v>入荷完了には表示されるが、仕入自動生成対象からは外れる。</x:v>
      </x:c>
      <x:c r="H28" s="21" t="str">
        <x:v>status=CONFIRMED、purchase_queue_id is null、自動実行ログのpurchase_skipped_warehouse91_countが増える。</x:v>
      </x:c>
      <x:c r="I28" s="21" t="str">
        <x:v>SQL-03, SQL-08</x:v>
      </x:c>
      <x:c r="J28" s="21" t="str">
        <x:v>倉庫CD91の伝票番号</x:v>
      </x:c>
      <x:c r="K28" s="20" t="str">
        <x:v>未実施</x:v>
      </x:c>
      <x:c r="L28" s="20" t="str"/>
      <x:c r="M28" s="20" t="str"/>
      <x:c r="N28" s="21" t="str"/>
    </x:row>
    <x:row r="29" ht="70" customHeight="1">
      <x:c r="A29" s="20" t="str">
        <x:v>IC-024</x:v>
      </x:c>
      <x:c r="B29" s="20" t="str">
        <x:v>P1</x:v>
      </x:c>
      <x:c r="C29" s="21" t="str">
        <x:v>手動確定</x:v>
      </x:c>
      <x:c r="D29" s="21" t="str">
        <x:v>手動入荷確定で数量を修正した値が反映される</x:v>
      </x:c>
      <x:c r="E29" s="21" t="str">
        <x:v>EOS送信対象ではない入荷予定。発注数量と実入荷数量が異なる。</x:v>
      </x:c>
      <x:c r="F29" s="21" t="str">
        <x:v>入荷予定詳細から数量を変更して確定する。</x:v>
      </x:c>
      <x:c r="G29" s="21" t="str">
        <x:v>入荷完了画面の入荷実績が入力値になる。</x:v>
      </x:c>
      <x:c r="H29" s="21" t="str">
        <x:v>received_quantity が入力値、shortage_quantity=expected-received。発注数量に戻らない。</x:v>
      </x:c>
      <x:c r="I29" s="21" t="str">
        <x:v>SQL-03</x:v>
      </x:c>
      <x:c r="J29" s="21" t="str">
        <x:v>入荷予定ID、入力数量</x:v>
      </x:c>
      <x:c r="K29" s="20" t="str">
        <x:v>未実施</x:v>
      </x:c>
      <x:c r="L29" s="20" t="str"/>
      <x:c r="M29" s="20" t="str"/>
      <x:c r="N29" s="21" t="str"/>
    </x:row>
    <x:row r="30" ht="70" customHeight="1">
      <x:c r="A30" s="20" t="str">
        <x:v>IC-025</x:v>
      </x:c>
      <x:c r="B30" s="20" t="str">
        <x:v>P1</x:v>
      </x:c>
      <x:c r="C30" s="21" t="str">
        <x:v>確定後修正</x:v>
      </x:c>
      <x:c r="D30" s="21" t="str">
        <x:v>仕入連携前の入荷確定データは伝票番号・数量・入荷日を修正できる</x:v>
      </x:c>
      <x:c r="E30" s="21" t="str">
        <x:v>purchase_queue_id is null の入荷完了データ。</x:v>
      </x:c>
      <x:c r="F30" s="21" t="str">
        <x:v>入荷完了画面の修正アクションで伝票番号/数量/入荷日を変更する。</x:v>
      </x:c>
      <x:c r="G30" s="21" t="str">
        <x:v>一覧に修正後の値が表示される。仕入連携済みは修正アクションが出ない。</x:v>
      </x:c>
      <x:c r="H30" s="21" t="str">
        <x:v>slip_number、received_quantity、shipped_quantity、shortage_quantity、actual_arrival_date が更新される。</x:v>
      </x:c>
      <x:c r="I30" s="21" t="str">
        <x:v>SQL-03</x:v>
      </x:c>
      <x:c r="J30" s="21" t="str">
        <x:v>修正前後の値</x:v>
      </x:c>
      <x:c r="K30" s="20" t="str">
        <x:v>未実施</x:v>
      </x:c>
      <x:c r="L30" s="20" t="str"/>
      <x:c r="M30" s="20" t="str"/>
      <x:c r="N30" s="21" t="str"/>
    </x:row>
    <x:row r="31">
      <x:c r="K31" s="18"/>
      <x:c r="L31" s="18"/>
      <x:c r="M31" s="18"/>
    </x:row>
    <x:row r="32">
      <x:c r="K32" s="18"/>
      <x:c r="L32" s="18"/>
      <x:c r="M32" s="18"/>
    </x:row>
    <x:row r="33">
      <x:c r="K33" s="18"/>
      <x:c r="L33" s="18"/>
      <x:c r="M33" s="18"/>
    </x:row>
    <x:row r="34">
      <x:c r="K34" s="18"/>
      <x:c r="L34" s="18"/>
      <x:c r="M34" s="18"/>
    </x:row>
    <x:row r="35">
      <x:c r="K35" s="18"/>
      <x:c r="L35" s="18"/>
      <x:c r="M35" s="18"/>
    </x:row>
    <x:row r="36">
      <x:c r="K36" s="18"/>
      <x:c r="L36" s="18"/>
      <x:c r="M36" s="18"/>
    </x:row>
    <x:row r="37">
      <x:c r="K37" s="18"/>
      <x:c r="L37" s="18"/>
      <x:c r="M37" s="18"/>
    </x:row>
    <x:row r="38">
      <x:c r="K38" s="18"/>
      <x:c r="L38" s="18"/>
      <x:c r="M38" s="18"/>
    </x:row>
    <x:row r="39">
      <x:c r="K39" s="18"/>
      <x:c r="L39" s="18"/>
      <x:c r="M39" s="18"/>
    </x:row>
    <x:row r="40">
      <x:c r="K40" s="18"/>
      <x:c r="L40" s="18"/>
      <x:c r="M40" s="18"/>
    </x:row>
    <x:row r="41">
      <x:c r="K41" s="18"/>
      <x:c r="L41" s="18"/>
      <x:c r="M41" s="18"/>
    </x:row>
    <x:row r="42">
      <x:c r="K42" s="18"/>
      <x:c r="L42" s="18"/>
      <x:c r="M42" s="18"/>
    </x:row>
    <x:row r="43">
      <x:c r="K43" s="18"/>
      <x:c r="L43" s="18"/>
      <x:c r="M43" s="18"/>
    </x:row>
    <x:row r="44">
      <x:c r="K44" s="18"/>
      <x:c r="L44" s="18"/>
      <x:c r="M44" s="18"/>
    </x:row>
    <x:row r="45">
      <x:c r="K45" s="18"/>
      <x:c r="L45" s="18"/>
      <x:c r="M45" s="18"/>
    </x:row>
    <x:row r="46">
      <x:c r="K46" s="18"/>
      <x:c r="L46" s="18"/>
      <x:c r="M46" s="18"/>
    </x:row>
    <x:row r="47">
      <x:c r="K47" s="18"/>
      <x:c r="L47" s="18"/>
      <x:c r="M47" s="18"/>
    </x:row>
    <x:row r="48">
      <x:c r="K48" s="18"/>
      <x:c r="L48" s="18"/>
      <x:c r="M48" s="18"/>
    </x:row>
    <x:row r="49">
      <x:c r="K49" s="18"/>
      <x:c r="L49" s="18"/>
      <x:c r="M49" s="18"/>
    </x:row>
    <x:row r="50">
      <x:c r="K50" s="18"/>
      <x:c r="L50" s="18"/>
      <x:c r="M50" s="18"/>
    </x:row>
    <x:row r="51">
      <x:c r="K51" s="18"/>
      <x:c r="L51" s="18"/>
      <x:c r="M51" s="18"/>
    </x:row>
    <x:row r="52">
      <x:c r="K52" s="18"/>
      <x:c r="L52" s="18"/>
      <x:c r="M52" s="18"/>
    </x:row>
    <x:row r="53">
      <x:c r="K53" s="18"/>
      <x:c r="L53" s="18"/>
      <x:c r="M53" s="18"/>
    </x:row>
    <x:row r="54">
      <x:c r="K54" s="18"/>
      <x:c r="L54" s="18"/>
      <x:c r="M54" s="18"/>
    </x:row>
    <x:row r="55">
      <x:c r="K55" s="18"/>
      <x:c r="L55" s="18"/>
      <x:c r="M55" s="18"/>
    </x:row>
    <x:row r="56">
      <x:c r="K56" s="18"/>
      <x:c r="L56" s="18"/>
      <x:c r="M56" s="18"/>
    </x:row>
    <x:row r="57">
      <x:c r="K57" s="18"/>
      <x:c r="L57" s="18"/>
      <x:c r="M57" s="18"/>
    </x:row>
    <x:row r="58">
      <x:c r="K58" s="18"/>
      <x:c r="L58" s="18"/>
      <x:c r="M58" s="18"/>
    </x:row>
    <x:row r="59">
      <x:c r="K59" s="18"/>
      <x:c r="L59" s="18"/>
      <x:c r="M59" s="18"/>
    </x:row>
    <x:row r="60">
      <x:c r="K60" s="18"/>
      <x:c r="L60" s="18"/>
      <x:c r="M60" s="18"/>
    </x:row>
    <x:row r="61">
      <x:c r="K61" s="18"/>
      <x:c r="L61" s="18"/>
      <x:c r="M61" s="18"/>
    </x:row>
    <x:row r="62">
      <x:c r="K62" s="18"/>
      <x:c r="L62" s="18"/>
      <x:c r="M62" s="18"/>
    </x:row>
    <x:row r="63">
      <x:c r="K63" s="18"/>
      <x:c r="L63" s="18"/>
      <x:c r="M63" s="18"/>
    </x:row>
    <x:row r="64">
      <x:c r="K64" s="18"/>
      <x:c r="L64" s="18"/>
      <x:c r="M64" s="18"/>
    </x:row>
    <x:row r="65">
      <x:c r="K65" s="18"/>
      <x:c r="L65" s="18"/>
      <x:c r="M65" s="18"/>
    </x:row>
    <x:row r="66">
      <x:c r="K66" s="18"/>
      <x:c r="L66" s="18"/>
      <x:c r="M66" s="18"/>
    </x:row>
    <x:row r="67">
      <x:c r="K67" s="18"/>
      <x:c r="L67" s="18"/>
      <x:c r="M67" s="18"/>
    </x:row>
    <x:row r="68">
      <x:c r="K68" s="18"/>
      <x:c r="L68" s="18"/>
      <x:c r="M68" s="18"/>
    </x:row>
    <x:row r="69">
      <x:c r="K69" s="18"/>
      <x:c r="L69" s="18"/>
      <x:c r="M69" s="18"/>
    </x:row>
    <x:row r="70">
      <x:c r="K70" s="18"/>
      <x:c r="L70" s="18"/>
      <x:c r="M70" s="18"/>
    </x:row>
    <x:row r="71">
      <x:c r="K71" s="18"/>
      <x:c r="L71" s="18"/>
      <x:c r="M71" s="18"/>
    </x:row>
    <x:row r="72">
      <x:c r="K72" s="18"/>
      <x:c r="L72" s="18"/>
      <x:c r="M72" s="18"/>
    </x:row>
    <x:row r="73">
      <x:c r="K73" s="18"/>
      <x:c r="L73" s="18"/>
      <x:c r="M73" s="18"/>
    </x:row>
    <x:row r="74">
      <x:c r="K74" s="18"/>
      <x:c r="L74" s="18"/>
      <x:c r="M74" s="18"/>
    </x:row>
    <x:row r="75">
      <x:c r="K75" s="18"/>
      <x:c r="L75" s="18"/>
      <x:c r="M75" s="18"/>
    </x:row>
    <x:row r="76">
      <x:c r="K76" s="18"/>
      <x:c r="L76" s="18"/>
      <x:c r="M76" s="18"/>
    </x:row>
    <x:row r="77">
      <x:c r="K77" s="18"/>
      <x:c r="L77" s="18"/>
      <x:c r="M77" s="18"/>
    </x:row>
    <x:row r="78">
      <x:c r="K78" s="18"/>
      <x:c r="L78" s="18"/>
      <x:c r="M78" s="18"/>
    </x:row>
    <x:row r="79">
      <x:c r="K79" s="18"/>
      <x:c r="L79" s="18"/>
      <x:c r="M79" s="18"/>
    </x:row>
    <x:row r="80">
      <x:c r="K80" s="18"/>
      <x:c r="L80" s="18"/>
      <x:c r="M80" s="18"/>
    </x:row>
    <x:row r="81">
      <x:c r="K81" s="18"/>
      <x:c r="L81" s="18"/>
      <x:c r="M81" s="18"/>
    </x:row>
    <x:row r="82">
      <x:c r="K82" s="18"/>
      <x:c r="L82" s="18"/>
      <x:c r="M82" s="18"/>
    </x:row>
    <x:row r="83">
      <x:c r="K83" s="18"/>
      <x:c r="L83" s="18"/>
      <x:c r="M83" s="18"/>
    </x:row>
    <x:row r="84">
      <x:c r="K84" s="18"/>
      <x:c r="L84" s="18"/>
      <x:c r="M84" s="18"/>
    </x:row>
    <x:row r="85">
      <x:c r="K85" s="18"/>
      <x:c r="L85" s="18"/>
      <x:c r="M85" s="18"/>
    </x:row>
    <x:row r="86">
      <x:c r="K86" s="18"/>
      <x:c r="L86" s="18"/>
      <x:c r="M86" s="18"/>
    </x:row>
    <x:row r="87">
      <x:c r="K87" s="18"/>
      <x:c r="L87" s="18"/>
      <x:c r="M87" s="18"/>
    </x:row>
    <x:row r="88">
      <x:c r="K88" s="18"/>
      <x:c r="L88" s="18"/>
      <x:c r="M88" s="18"/>
    </x:row>
    <x:row r="89">
      <x:c r="K89" s="18"/>
      <x:c r="L89" s="18"/>
      <x:c r="M89" s="18"/>
    </x:row>
    <x:row r="90">
      <x:c r="K90" s="18"/>
      <x:c r="L90" s="18"/>
      <x:c r="M90" s="18"/>
    </x:row>
    <x:row r="91">
      <x:c r="K91" s="18"/>
      <x:c r="L91" s="18"/>
      <x:c r="M91" s="18"/>
    </x:row>
    <x:row r="92">
      <x:c r="K92" s="18"/>
      <x:c r="L92" s="18"/>
      <x:c r="M92" s="18"/>
    </x:row>
    <x:row r="93">
      <x:c r="K93" s="18"/>
      <x:c r="L93" s="18"/>
      <x:c r="M93" s="18"/>
    </x:row>
    <x:row r="94">
      <x:c r="K94" s="18"/>
      <x:c r="L94" s="18"/>
      <x:c r="M94" s="18"/>
    </x:row>
    <x:row r="95">
      <x:c r="K95" s="18"/>
      <x:c r="L95" s="18"/>
      <x:c r="M95" s="18"/>
    </x:row>
    <x:row r="96">
      <x:c r="K96" s="18"/>
      <x:c r="L96" s="18"/>
      <x:c r="M96" s="18"/>
    </x:row>
    <x:row r="97">
      <x:c r="K97" s="18"/>
      <x:c r="L97" s="18"/>
      <x:c r="M97" s="18"/>
    </x:row>
    <x:row r="98">
      <x:c r="K98" s="18"/>
      <x:c r="L98" s="18"/>
      <x:c r="M98" s="18"/>
    </x:row>
    <x:row r="99">
      <x:c r="K99" s="18"/>
      <x:c r="L99" s="18"/>
      <x:c r="M99" s="18"/>
    </x:row>
    <x:row r="100">
      <x:c r="K100" s="18"/>
      <x:c r="L100" s="18"/>
      <x:c r="M100" s="18"/>
    </x:row>
    <x:row r="101">
      <x:c r="K101" s="18"/>
      <x:c r="L101" s="18"/>
      <x:c r="M101" s="18"/>
    </x:row>
    <x:row r="102">
      <x:c r="K102" s="18"/>
      <x:c r="L102" s="18"/>
      <x:c r="M102" s="18"/>
    </x:row>
    <x:row r="103">
      <x:c r="K103" s="18"/>
      <x:c r="L103" s="18"/>
      <x:c r="M103" s="18"/>
    </x:row>
    <x:row r="104">
      <x:c r="K104" s="18"/>
      <x:c r="L104" s="18"/>
      <x:c r="M104" s="18"/>
    </x:row>
    <x:row r="105">
      <x:c r="K105" s="18"/>
      <x:c r="L105" s="18"/>
      <x:c r="M105" s="18"/>
    </x:row>
    <x:row r="106">
      <x:c r="K106" s="18"/>
      <x:c r="L106" s="18"/>
      <x:c r="M106" s="18"/>
    </x:row>
    <x:row r="107">
      <x:c r="K107" s="18"/>
      <x:c r="L107" s="18"/>
      <x:c r="M107" s="18"/>
    </x:row>
    <x:row r="108">
      <x:c r="K108" s="18"/>
      <x:c r="L108" s="18"/>
      <x:c r="M108" s="18"/>
    </x:row>
    <x:row r="109">
      <x:c r="K109" s="18"/>
      <x:c r="L109" s="18"/>
      <x:c r="M109" s="18"/>
    </x:row>
    <x:row r="110">
      <x:c r="K110" s="18"/>
      <x:c r="L110" s="18"/>
      <x:c r="M110" s="18"/>
    </x:row>
    <x:row r="111">
      <x:c r="K111" s="18"/>
      <x:c r="L111" s="18"/>
      <x:c r="M111" s="18"/>
    </x:row>
    <x:row r="112">
      <x:c r="K112" s="18"/>
      <x:c r="L112" s="18"/>
      <x:c r="M112" s="18"/>
    </x:row>
    <x:row r="113">
      <x:c r="K113" s="18"/>
      <x:c r="L113" s="18"/>
      <x:c r="M113" s="18"/>
    </x:row>
    <x:row r="114">
      <x:c r="K114" s="18"/>
      <x:c r="L114" s="18"/>
      <x:c r="M114" s="18"/>
    </x:row>
    <x:row r="115">
      <x:c r="K115" s="18"/>
      <x:c r="L115" s="18"/>
      <x:c r="M115" s="18"/>
    </x:row>
    <x:row r="116">
      <x:c r="K116" s="18"/>
      <x:c r="L116" s="18"/>
      <x:c r="M116" s="18"/>
    </x:row>
    <x:row r="117">
      <x:c r="K117" s="18"/>
      <x:c r="L117" s="18"/>
      <x:c r="M117" s="18"/>
    </x:row>
    <x:row r="118">
      <x:c r="K118" s="18"/>
      <x:c r="L118" s="18"/>
      <x:c r="M118" s="18"/>
    </x:row>
    <x:row r="119">
      <x:c r="K119" s="18"/>
      <x:c r="L119" s="18"/>
      <x:c r="M119" s="18"/>
    </x:row>
    <x:row r="120">
      <x:c r="K120" s="18"/>
      <x:c r="L120" s="18"/>
      <x:c r="M120" s="18"/>
    </x:row>
    <x:row r="121">
      <x:c r="K121" s="18"/>
      <x:c r="L121" s="18"/>
      <x:c r="M121" s="18"/>
    </x:row>
    <x:row r="122">
      <x:c r="K122" s="18"/>
      <x:c r="L122" s="18"/>
      <x:c r="M122" s="18"/>
    </x:row>
    <x:row r="123">
      <x:c r="K123" s="18"/>
      <x:c r="L123" s="18"/>
      <x:c r="M123" s="18"/>
    </x:row>
    <x:row r="124">
      <x:c r="K124" s="18"/>
      <x:c r="L124" s="18"/>
      <x:c r="M124" s="18"/>
    </x:row>
    <x:row r="125">
      <x:c r="K125" s="18"/>
      <x:c r="L125" s="18"/>
      <x:c r="M125" s="18"/>
    </x:row>
    <x:row r="126">
      <x:c r="K126" s="18"/>
      <x:c r="L126" s="18"/>
      <x:c r="M126" s="18"/>
    </x:row>
    <x:row r="127">
      <x:c r="K127" s="18"/>
      <x:c r="L127" s="18"/>
      <x:c r="M127" s="18"/>
    </x:row>
    <x:row r="128">
      <x:c r="K128" s="18"/>
      <x:c r="L128" s="18"/>
      <x:c r="M128" s="18"/>
    </x:row>
    <x:row r="129">
      <x:c r="K129" s="18"/>
      <x:c r="L129" s="18"/>
      <x:c r="M129" s="18"/>
    </x:row>
    <x:row r="130">
      <x:c r="K130" s="18"/>
      <x:c r="L130" s="18"/>
      <x:c r="M130" s="18"/>
    </x:row>
    <x:row r="131">
      <x:c r="K131" s="18"/>
      <x:c r="L131" s="18"/>
      <x:c r="M131" s="18"/>
    </x:row>
    <x:row r="132">
      <x:c r="K132" s="18"/>
      <x:c r="L132" s="18"/>
      <x:c r="M132" s="18"/>
    </x:row>
    <x:row r="133">
      <x:c r="K133" s="18"/>
      <x:c r="L133" s="18"/>
      <x:c r="M133" s="18"/>
    </x:row>
    <x:row r="134">
      <x:c r="K134" s="18"/>
      <x:c r="L134" s="18"/>
      <x:c r="M134" s="18"/>
    </x:row>
    <x:row r="135">
      <x:c r="K135" s="18"/>
      <x:c r="L135" s="18"/>
      <x:c r="M135" s="18"/>
    </x:row>
    <x:row r="136">
      <x:c r="K136" s="18"/>
      <x:c r="L136" s="18"/>
      <x:c r="M136" s="18"/>
    </x:row>
    <x:row r="137">
      <x:c r="K137" s="18"/>
      <x:c r="L137" s="18"/>
      <x:c r="M137" s="18"/>
    </x:row>
    <x:row r="138">
      <x:c r="K138" s="18"/>
      <x:c r="L138" s="18"/>
      <x:c r="M138" s="18"/>
    </x:row>
    <x:row r="139">
      <x:c r="K139" s="18"/>
      <x:c r="L139" s="18"/>
      <x:c r="M139" s="18"/>
    </x:row>
    <x:row r="140">
      <x:c r="K140" s="18"/>
      <x:c r="L140" s="18"/>
      <x:c r="M140" s="18"/>
    </x:row>
    <x:row r="141">
      <x:c r="K141" s="18"/>
      <x:c r="L141" s="18"/>
      <x:c r="M141" s="18"/>
    </x:row>
    <x:row r="142">
      <x:c r="K142" s="18"/>
      <x:c r="L142" s="18"/>
      <x:c r="M142" s="18"/>
    </x:row>
    <x:row r="143">
      <x:c r="K143" s="18"/>
      <x:c r="L143" s="18"/>
      <x:c r="M143" s="18"/>
    </x:row>
    <x:row r="144">
      <x:c r="K144" s="18"/>
      <x:c r="L144" s="18"/>
      <x:c r="M144" s="18"/>
    </x:row>
    <x:row r="145">
      <x:c r="K145" s="18"/>
      <x:c r="L145" s="18"/>
      <x:c r="M145" s="18"/>
    </x:row>
    <x:row r="146">
      <x:c r="K146" s="18"/>
      <x:c r="L146" s="18"/>
      <x:c r="M146" s="18"/>
    </x:row>
    <x:row r="147">
      <x:c r="K147" s="18"/>
      <x:c r="L147" s="18"/>
      <x:c r="M147" s="18"/>
    </x:row>
    <x:row r="148">
      <x:c r="K148" s="18"/>
      <x:c r="L148" s="18"/>
      <x:c r="M148" s="18"/>
    </x:row>
    <x:row r="149">
      <x:c r="K149" s="18"/>
      <x:c r="L149" s="18"/>
      <x:c r="M149" s="18"/>
    </x:row>
    <x:row r="150">
      <x:c r="K150" s="18"/>
      <x:c r="L150" s="18"/>
      <x:c r="M150" s="18"/>
    </x:row>
    <x:row r="151">
      <x:c r="K151" s="18"/>
      <x:c r="L151" s="18"/>
      <x:c r="M151" s="18"/>
    </x:row>
    <x:row r="152">
      <x:c r="K152" s="18"/>
      <x:c r="L152" s="18"/>
      <x:c r="M152" s="18"/>
    </x:row>
    <x:row r="153">
      <x:c r="K153" s="18"/>
      <x:c r="L153" s="18"/>
      <x:c r="M153" s="18"/>
    </x:row>
    <x:row r="154">
      <x:c r="K154" s="18"/>
      <x:c r="L154" s="18"/>
      <x:c r="M154" s="18"/>
    </x:row>
    <x:row r="155">
      <x:c r="K155" s="18"/>
      <x:c r="L155" s="18"/>
      <x:c r="M155" s="18"/>
    </x:row>
    <x:row r="156">
      <x:c r="K156" s="18"/>
      <x:c r="L156" s="18"/>
      <x:c r="M156" s="18"/>
    </x:row>
    <x:row r="157">
      <x:c r="K157" s="18"/>
      <x:c r="L157" s="18"/>
      <x:c r="M157" s="18"/>
    </x:row>
    <x:row r="158">
      <x:c r="K158" s="18"/>
      <x:c r="L158" s="18"/>
      <x:c r="M158" s="18"/>
    </x:row>
    <x:row r="159">
      <x:c r="K159" s="18"/>
      <x:c r="L159" s="18"/>
      <x:c r="M159" s="18"/>
    </x:row>
    <x:row r="160">
      <x:c r="K160" s="18"/>
      <x:c r="L160" s="18"/>
      <x:c r="M160" s="18"/>
    </x:row>
    <x:row r="161">
      <x:c r="K161" s="18"/>
      <x:c r="L161" s="18"/>
      <x:c r="M161" s="18"/>
    </x:row>
    <x:row r="162">
      <x:c r="K162" s="18"/>
      <x:c r="L162" s="18"/>
      <x:c r="M162" s="18"/>
    </x:row>
    <x:row r="163">
      <x:c r="K163" s="18"/>
      <x:c r="L163" s="18"/>
      <x:c r="M163" s="18"/>
    </x:row>
    <x:row r="164">
      <x:c r="K164" s="18"/>
      <x:c r="L164" s="18"/>
      <x:c r="M164" s="18"/>
    </x:row>
    <x:row r="165">
      <x:c r="K165" s="18"/>
      <x:c r="L165" s="18"/>
      <x:c r="M165" s="18"/>
    </x:row>
    <x:row r="166">
      <x:c r="K166" s="18"/>
      <x:c r="L166" s="18"/>
      <x:c r="M166" s="18"/>
    </x:row>
    <x:row r="167">
      <x:c r="K167" s="18"/>
      <x:c r="L167" s="18"/>
      <x:c r="M167" s="18"/>
    </x:row>
    <x:row r="168">
      <x:c r="K168" s="18"/>
      <x:c r="L168" s="18"/>
      <x:c r="M168" s="18"/>
    </x:row>
    <x:row r="169">
      <x:c r="K169" s="18"/>
      <x:c r="L169" s="18"/>
      <x:c r="M169" s="18"/>
    </x:row>
    <x:row r="170">
      <x:c r="K170" s="18"/>
      <x:c r="L170" s="18"/>
      <x:c r="M170" s="18"/>
    </x:row>
    <x:row r="171">
      <x:c r="K171" s="18"/>
      <x:c r="L171" s="18"/>
      <x:c r="M171" s="18"/>
    </x:row>
    <x:row r="172">
      <x:c r="K172" s="18"/>
      <x:c r="L172" s="18"/>
      <x:c r="M172" s="18"/>
    </x:row>
    <x:row r="173">
      <x:c r="K173" s="18"/>
      <x:c r="L173" s="18"/>
      <x:c r="M173" s="18"/>
    </x:row>
    <x:row r="174">
      <x:c r="K174" s="18"/>
      <x:c r="L174" s="18"/>
      <x:c r="M174" s="18"/>
    </x:row>
    <x:row r="175">
      <x:c r="K175" s="18"/>
      <x:c r="L175" s="18"/>
      <x:c r="M175" s="18"/>
    </x:row>
    <x:row r="176">
      <x:c r="K176" s="18"/>
      <x:c r="L176" s="18"/>
      <x:c r="M176" s="18"/>
    </x:row>
    <x:row r="177">
      <x:c r="K177" s="18"/>
      <x:c r="L177" s="18"/>
      <x:c r="M177" s="18"/>
    </x:row>
    <x:row r="178">
      <x:c r="K178" s="18"/>
      <x:c r="L178" s="18"/>
      <x:c r="M178" s="18"/>
    </x:row>
    <x:row r="179">
      <x:c r="K179" s="18"/>
      <x:c r="L179" s="18"/>
      <x:c r="M179" s="18"/>
    </x:row>
    <x:row r="180">
      <x:c r="K180" s="18"/>
      <x:c r="L180" s="18"/>
      <x:c r="M180" s="18"/>
    </x:row>
    <x:row r="181">
      <x:c r="K181" s="18"/>
      <x:c r="L181" s="18"/>
      <x:c r="M181" s="18"/>
    </x:row>
    <x:row r="182">
      <x:c r="K182" s="18"/>
      <x:c r="L182" s="18"/>
      <x:c r="M182" s="18"/>
    </x:row>
    <x:row r="183">
      <x:c r="K183" s="18"/>
      <x:c r="L183" s="18"/>
      <x:c r="M183" s="18"/>
    </x:row>
    <x:row r="184">
      <x:c r="K184" s="18"/>
      <x:c r="L184" s="18"/>
      <x:c r="M184" s="18"/>
    </x:row>
    <x:row r="185">
      <x:c r="K185" s="18"/>
      <x:c r="L185" s="18"/>
      <x:c r="M185" s="18"/>
    </x:row>
    <x:row r="186">
      <x:c r="K186" s="18"/>
      <x:c r="L186" s="18"/>
      <x:c r="M186" s="18"/>
    </x:row>
    <x:row r="187">
      <x:c r="K187" s="18"/>
      <x:c r="L187" s="18"/>
      <x:c r="M187" s="18"/>
    </x:row>
    <x:row r="188">
      <x:c r="K188" s="18"/>
      <x:c r="L188" s="18"/>
      <x:c r="M188" s="18"/>
    </x:row>
    <x:row r="189">
      <x:c r="K189" s="18"/>
      <x:c r="L189" s="18"/>
      <x:c r="M189" s="18"/>
    </x:row>
    <x:row r="190">
      <x:c r="K190" s="18"/>
      <x:c r="L190" s="18"/>
      <x:c r="M190" s="18"/>
    </x:row>
    <x:row r="191">
      <x:c r="K191" s="18"/>
      <x:c r="L191" s="18"/>
      <x:c r="M191" s="18"/>
    </x:row>
    <x:row r="192">
      <x:c r="K192" s="18"/>
      <x:c r="L192" s="18"/>
      <x:c r="M192" s="18"/>
    </x:row>
    <x:row r="193">
      <x:c r="K193" s="18"/>
      <x:c r="L193" s="18"/>
      <x:c r="M193" s="18"/>
    </x:row>
    <x:row r="194">
      <x:c r="K194" s="18"/>
      <x:c r="L194" s="18"/>
      <x:c r="M194" s="18"/>
    </x:row>
    <x:row r="195">
      <x:c r="K195" s="18"/>
      <x:c r="L195" s="18"/>
      <x:c r="M195" s="18"/>
    </x:row>
    <x:row r="196">
      <x:c r="K196" s="18"/>
      <x:c r="L196" s="18"/>
      <x:c r="M196" s="18"/>
    </x:row>
    <x:row r="197">
      <x:c r="K197" s="18"/>
      <x:c r="L197" s="18"/>
      <x:c r="M197" s="18"/>
    </x:row>
    <x:row r="198">
      <x:c r="K198" s="18"/>
      <x:c r="L198" s="18"/>
      <x:c r="M198" s="18"/>
    </x:row>
    <x:row r="199">
      <x:c r="K199" s="18"/>
      <x:c r="L199" s="18"/>
      <x:c r="M199" s="18"/>
    </x:row>
    <x:row r="200">
      <x:c r="K200" s="18"/>
      <x:c r="L200" s="18"/>
      <x:c r="M200" s="18"/>
    </x:row>
    <x:row r="201">
      <x:c r="K201" s="18"/>
      <x:c r="L201" s="18"/>
      <x:c r="M201" s="18"/>
    </x:row>
    <x:row r="202">
      <x:c r="K202" s="18"/>
      <x:c r="L202" s="18"/>
      <x:c r="M202" s="18"/>
    </x:row>
    <x:row r="203">
      <x:c r="K203" s="18"/>
      <x:c r="L203" s="18"/>
      <x:c r="M203" s="18"/>
    </x:row>
    <x:row r="204">
      <x:c r="K204" s="18"/>
      <x:c r="L204" s="18"/>
      <x:c r="M204" s="18"/>
    </x:row>
    <x:row r="205">
      <x:c r="K205" s="18"/>
      <x:c r="L205" s="18"/>
      <x:c r="M205" s="18"/>
    </x:row>
  </x:sheetData>
  <x:mergeCells>
    <x:mergeCell ref="A1:N1"/>
    <x:mergeCell ref="A2:N2"/>
    <x:mergeCell ref="A4:N4"/>
  </x:mergeCells>
  <x:conditionalFormatting sqref="K6:K205">
    <x:cfRule type="containsText" dxfId="0" priority="1" operator="containsText" text="OK"/>
    <x:cfRule type="containsText" dxfId="1" priority="2" operator="containsText" text="NG"/>
    <x:cfRule type="containsText" dxfId="2" priority="3" operator="containsText" text="保留"/>
    <x:cfRule type="containsText" dxfId="3" priority="4" operator="containsText" text="対象外"/>
  </x:conditionalFormatting>
  <x:dataValidations count="2">
    <x:dataValidation type="list" sqref="K6:K205">
      <x:formula1>"未実施,OK,NG,保留,対象外"</x:formula1>
    </x:dataValidation>
    <x:dataValidation type="list" sqref="B6:B205">
      <x:formula1>"P0,P1,P2,P3"</x:formula1>
    </x:dataValidation>
  </x:dataValidations>
  <x:pageMargins left="0.7" right="0.7" top="0.75" bottom="0.75" header="0.3" footer="0.3"/>
  <x:tableParts count="1">
    <x:tablePart xmlns:r="http://schemas.openxmlformats.org/officeDocument/2006/relationships" r:id="R609a26fdc53444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18" hidden="0" customWidth="1"/>
    <x:col min="4" max="4" width="34" hidden="0" customWidth="1"/>
    <x:col min="5" max="5" width="48" hidden="0" customWidth="1"/>
    <x:col min="6" max="6" width="52" hidden="0" customWidth="1"/>
    <x:col min="7" max="7" width="48" hidden="0" customWidth="1"/>
    <x:col min="8" max="8" width="52" hidden="0" customWidth="1"/>
    <x:col min="9" max="9" width="28" hidden="0" customWidth="1"/>
    <x:col min="10" max="10" width="26" hidden="0" customWidth="1"/>
    <x:col min="11" max="11" width="10" hidden="0" customWidth="1"/>
    <x:col min="12" max="12" width="20" hidden="0" customWidth="1"/>
    <x:col min="13" max="13" width="16" hidden="0" customWidth="1"/>
    <x:col min="14" max="14" width="34" hidden="0" customWidth="1"/>
  </x:cols>
  <x:sheetData>
    <x:row r="1" ht="30" customHeight="1">
      <x:c r="A1" s="3" t="str">
        <x:v>仕入データ連携チェックリスト</x:v>
      </x:c>
      <x:c r="B1" s="3"/>
      <x:c r="C1" s="3"/>
      <x:c r="D1" s="3"/>
      <x:c r="E1" s="3"/>
      <x:c r="F1" s="3"/>
      <x:c r="G1" s="3"/>
      <x:c r="H1" s="3"/>
      <x:c r="I1" s="3"/>
      <x:c r="J1" s="3"/>
      <x:c r="K1" s="3"/>
      <x:c r="L1" s="3"/>
      <x:c r="M1" s="3"/>
      <x:c r="N1" s="3"/>
    </x:row>
    <x:row r="2" ht="42" customHeight="1">
      <x:c r="A2" s="7" t="str">
        <x:v>K列に結果を記録し、L/M/N列に実データ・証跡を残す。JX受信済みのローカルデータを前提に、必要な行だけ実施してよい。</x:v>
      </x:c>
      <x:c r="B2" s="7"/>
      <x:c r="C2" s="7"/>
      <x:c r="D2" s="7"/>
      <x:c r="E2" s="7"/>
      <x:c r="F2" s="7"/>
      <x:c r="G2" s="7"/>
      <x:c r="H2" s="7"/>
      <x:c r="I2" s="7"/>
      <x:c r="J2" s="7"/>
      <x:c r="K2" s="7"/>
      <x:c r="L2" s="7"/>
      <x:c r="M2" s="7"/>
      <x:c r="N2" s="7"/>
    </x:row>
    <x:row r="4" ht="24" customHeight="1">
      <x:c r="A4" s="9" t="str">
        <x:v>ステータス: 未実施 / OK / NG / 保留 / 対象外</x:v>
      </x:c>
      <x:c r="B4" s="9"/>
      <x:c r="C4" s="9"/>
      <x:c r="D4" s="9"/>
      <x:c r="E4" s="9"/>
      <x:c r="F4" s="9"/>
      <x:c r="G4" s="9"/>
      <x:c r="H4" s="9"/>
      <x:c r="I4" s="9"/>
      <x:c r="J4" s="9"/>
      <x:c r="K4" s="9"/>
      <x:c r="L4" s="9"/>
      <x:c r="M4" s="9"/>
      <x:c r="N4" s="9"/>
    </x:row>
    <x:row r="5" ht="34" customHeight="1">
      <x:c r="A5" s="19" t="str">
        <x:v>No</x:v>
      </x:c>
      <x:c r="B5" s="19" t="str">
        <x:v>優先度</x:v>
      </x:c>
      <x:c r="C5" s="19" t="str">
        <x:v>テスト観点</x:v>
      </x:c>
      <x:c r="D5" s="19" t="str">
        <x:v>ケース</x:v>
      </x:c>
      <x:c r="E5" s="19" t="str">
        <x:v>事前条件/対象データ</x:v>
      </x:c>
      <x:c r="F5" s="19" t="str">
        <x:v>操作</x:v>
      </x:c>
      <x:c r="G5" s="19" t="str">
        <x:v>期待結果(UI)</x:v>
      </x:c>
      <x:c r="H5" s="19" t="str">
        <x:v>期待結果(DB)</x:v>
      </x:c>
      <x:c r="I5" s="19" t="str">
        <x:v>確認画面/SQL</x:v>
      </x:c>
      <x:c r="J5" s="19" t="str">
        <x:v>入力する実データ</x:v>
      </x:c>
      <x:c r="K5" s="19" t="str">
        <x:v>結果</x:v>
      </x:c>
      <x:c r="L5" s="19" t="str">
        <x:v>JXログID/伝票</x:v>
      </x:c>
      <x:c r="M5" s="19" t="str">
        <x:v>仕入キューID</x:v>
      </x:c>
      <x:c r="N5" s="19" t="str">
        <x:v>メモ</x:v>
      </x:c>
    </x:row>
    <x:row r="6" ht="70" customHeight="1">
      <x:c r="A6" s="20" t="str">
        <x:v>PT-001</x:v>
      </x:c>
      <x:c r="B6" s="20" t="str">
        <x:v>P0</x:v>
      </x:c>
      <x:c r="C6" s="21" t="str">
        <x:v>全送信UI</x:v>
      </x:c>
      <x:c r="D6" s="21" t="str">
        <x:v>入荷完了画面の全送信は倉庫タブ選択時のみ実行できる</x:v>
      </x:c>
      <x:c r="E6" s="21" t="str">
        <x:v>https://wms.sakemaru.test/admin/wms-incoming-completed を表示。</x:v>
      </x:c>
      <x:c r="F6" s="21" t="str">
        <x:v>全体ビューで全送信、倉庫タブで全送信をそれぞれ試す。</x:v>
      </x:c>
      <x:c r="G6" s="21" t="str">
        <x:v>全体ビューでは倉庫選択警告。倉庫タブでは確認モーダル後に送信される。</x:v>
      </x:c>
      <x:c r="H6" s="21" t="str">
        <x:v>倉庫ID指定時だけreadyForIncomingTransmission対象がpurchase_create_queueへ進む。</x:v>
      </x:c>
      <x:c r="I6" s="21" t="str">
        <x:v>SQL-07</x:v>
      </x:c>
      <x:c r="J6" s="21" t="str">
        <x:v>倉庫タブ名</x:v>
      </x:c>
      <x:c r="K6" s="20" t="str">
        <x:v>未実施</x:v>
      </x:c>
      <x:c r="L6" s="20" t="str"/>
      <x:c r="M6" s="20" t="str"/>
      <x:c r="N6" s="21" t="str"/>
    </x:row>
    <x:row r="7" ht="70" customHeight="1">
      <x:c r="A7" s="20" t="str">
        <x:v>PT-002</x:v>
      </x:c>
      <x:c r="B7" s="20" t="str">
        <x:v>P0</x:v>
      </x:c>
      <x:c r="C7" s="21" t="str">
        <x:v>選択送信</x:v>
      </x:c>
      <x:c r="D7" s="21" t="str">
        <x:v>チェックした明細だけ送信できる</x:v>
      </x:c>
      <x:c r="E7" s="21" t="str">
        <x:v>入荷完了画面で未送信明細が複数ある。</x:v>
      </x:c>
      <x:c r="F7" s="21" t="str">
        <x:v>数件だけチェックして「チェックした仕入れデータ送信」を実行する。</x:v>
      </x:c>
      <x:c r="G7" s="21" t="str">
        <x:v>選択明細だけ送信済みになる。同じグループ内の未選択明細は未送信のまま。</x:v>
      </x:c>
      <x:c r="H7" s="21" t="str">
        <x:v>選択IDのみpurchase_queue_idが入り、未選択はnullのまま。</x:v>
      </x:c>
      <x:c r="I7" s="21" t="str">
        <x:v>SQL-03, SQL-07</x:v>
      </x:c>
      <x:c r="J7" s="21" t="str">
        <x:v>選択schedule_id</x:v>
      </x:c>
      <x:c r="K7" s="20" t="str">
        <x:v>未実施</x:v>
      </x:c>
      <x:c r="L7" s="20" t="str"/>
      <x:c r="M7" s="20" t="str"/>
      <x:c r="N7" s="21" t="str"/>
    </x:row>
    <x:row r="8" ht="70" customHeight="1">
      <x:c r="A8" s="20" t="str">
        <x:v>PT-003</x:v>
      </x:c>
      <x:c r="B8" s="20" t="str">
        <x:v>P0</x:v>
      </x:c>
      <x:c r="C8" s="21" t="str">
        <x:v>グルーピング</x:v>
      </x:c>
      <x:c r="D8" s="21" t="str">
        <x:v>倉庫CD・仕入先CD・伝票番号・発注日・入荷日・買掛日単位で1キューになる</x:v>
      </x:c>
      <x:c r="E8" s="21" t="str">
        <x:v>同一グループの複数明細がある。</x:v>
      </x:c>
      <x:c r="F8" s="21" t="str">
        <x:v>該当明細を送信する。</x:v>
      </x:c>
      <x:c r="G8" s="21" t="str">
        <x:v>通知のキュー件数がグループ数と一致する。</x:v>
      </x:c>
      <x:c r="H8" s="21" t="str">
        <x:v>purchase_create_queue.items に1伝票分のdetailsが入り、各schedule.purchase_queue_idが同じ。</x:v>
      </x:c>
      <x:c r="I8" s="21" t="str">
        <x:v>SQL-07</x:v>
      </x:c>
      <x:c r="J8" s="21" t="str">
        <x:v>対象グループ条件</x:v>
      </x:c>
      <x:c r="K8" s="20" t="str">
        <x:v>未実施</x:v>
      </x:c>
      <x:c r="L8" s="20" t="str"/>
      <x:c r="M8" s="20" t="str"/>
      <x:c r="N8" s="21" t="str"/>
    </x:row>
    <x:row r="9" ht="70" customHeight="1">
      <x:c r="A9" s="20" t="str">
        <x:v>PT-004</x:v>
      </x:c>
      <x:c r="B9" s="20" t="str">
        <x:v>P0</x:v>
      </x:c>
      <x:c r="C9" s="21" t="str">
        <x:v>伝票番号</x:v>
      </x:c>
      <x:c r="D9" s="21" t="str">
        <x:v>仕入キューに伝票番号が保存される</x:v>
      </x:c>
      <x:c r="E9" s="21" t="str">
        <x:v>slip_number付きの入荷完了データ。</x:v>
      </x:c>
      <x:c r="F9" s="21" t="str">
        <x:v>仕入送信を実行する。</x:v>
      </x:c>
      <x:c r="G9" s="21" t="str">
        <x:v>画面上は送信済みになり、後続修正不可になる。</x:v>
      </x:c>
      <x:c r="H9" s="21" t="str">
        <x:v>purchase_create_queue.slip_number と items.slip_number が入荷完了の伝票番号と一致する。</x:v>
      </x:c>
      <x:c r="I9" s="21" t="str">
        <x:v>SQL-07</x:v>
      </x:c>
      <x:c r="J9" s="21" t="str">
        <x:v>伝票番号</x:v>
      </x:c>
      <x:c r="K9" s="20" t="str">
        <x:v>未実施</x:v>
      </x:c>
      <x:c r="L9" s="20" t="str"/>
      <x:c r="M9" s="20" t="str"/>
      <x:c r="N9" s="21" t="str"/>
    </x:row>
    <x:row r="10" ht="70" customHeight="1">
      <x:c r="A10" s="20" t="str">
        <x:v>PT-005</x:v>
      </x:c>
      <x:c r="B10" s="20" t="str">
        <x:v>P0</x:v>
      </x:c>
      <x:c r="C10" s="21" t="str">
        <x:v>数量</x:v>
      </x:c>
      <x:c r="D10" s="21" t="str">
        <x:v>仕入明細の数量は予定数量ではなく入荷実績を送る</x:v>
      </x:c>
      <x:c r="E10" s="21" t="str">
        <x:v>予定数量と入荷実績が異なる明細。</x:v>
      </x:c>
      <x:c r="F10" s="21" t="str">
        <x:v>仕入送信を実行する。</x:v>
      </x:c>
      <x:c r="G10" s="21" t="str">
        <x:v>入荷完了一覧の入荷実績と仕入送信対象数量が一致する。</x:v>
      </x:c>
      <x:c r="H10" s="21" t="str">
        <x:v>purchase_create_queue.items.details[].quantity = wms_order_incoming_schedules.received_quantity。</x:v>
      </x:c>
      <x:c r="I10" s="21" t="str">
        <x:v>SQL-07</x:v>
      </x:c>
      <x:c r="J10" s="21" t="str">
        <x:v>予定数量、実績数量</x:v>
      </x:c>
      <x:c r="K10" s="20" t="str">
        <x:v>未実施</x:v>
      </x:c>
      <x:c r="L10" s="20" t="str"/>
      <x:c r="M10" s="20" t="str"/>
      <x:c r="N10" s="21" t="str"/>
    </x:row>
    <x:row r="11" ht="70" customHeight="1">
      <x:c r="A11" s="20" t="str">
        <x:v>PT-006</x:v>
      </x:c>
      <x:c r="B11" s="20" t="str">
        <x:v>P0</x:v>
      </x:c>
      <x:c r="C11" s="21" t="str">
        <x:v>分納</x:v>
      </x:c>
      <x:c r="D11" s="21" t="str">
        <x:v>同じ伝票番号でも入荷日が異なる分納は別仕入キューになる</x:v>
      </x:c>
      <x:c r="E11" s="21" t="str">
        <x:v>同一slip_number/supplier/warehouseでactual_arrival_dateが異なる入荷完了データ。</x:v>
      </x:c>
      <x:c r="F11" s="21" t="str">
        <x:v>両方を仕入送信する。</x:v>
      </x:c>
      <x:c r="G11" s="21" t="str">
        <x:v>キュー件数が2件になる。</x:v>
      </x:c>
      <x:c r="H11" s="21" t="str">
        <x:v>purchase_create_queue は同じslip_numberでdelivered_dateが異なる2行。</x:v>
      </x:c>
      <x:c r="I11" s="21" t="str">
        <x:v>SQL-07</x:v>
      </x:c>
      <x:c r="J11" s="21" t="str">
        <x:v>同一伝票番号、入荷日2日分</x:v>
      </x:c>
      <x:c r="K11" s="20" t="str">
        <x:v>未実施</x:v>
      </x:c>
      <x:c r="L11" s="20" t="str"/>
      <x:c r="M11" s="20" t="str"/>
      <x:c r="N11" s="21" t="str"/>
    </x:row>
    <x:row r="12" ht="70" customHeight="1">
      <x:c r="A12" s="20" t="str">
        <x:v>PT-007</x:v>
      </x:c>
      <x:c r="B12" s="20" t="str">
        <x:v>P0</x:v>
      </x:c>
      <x:c r="C12" s="21" t="str">
        <x:v>分納</x:v>
      </x:c>
      <x:c r="D12" s="21" t="str">
        <x:v>同じ伝票番号・同じ入荷日の分納明細は同じ仕入キューにまとまる</x:v>
      </x:c>
      <x:c r="E12" s="21" t="str">
        <x:v>同一slip_number/supplier/warehouse/order_date/actual_arrival_dateの複数確定明細。</x:v>
      </x:c>
      <x:c r="F12" s="21" t="str">
        <x:v>該当明細をまとめて送信する。</x:v>
      </x:c>
      <x:c r="G12" s="21" t="str">
        <x:v>キュー1件、明細複数になる。</x:v>
      </x:c>
      <x:c r="H12" s="21" t="str">
        <x:v>purchase_create_queue.items.details の件数が対象schedule数と一致する。</x:v>
      </x:c>
      <x:c r="I12" s="21" t="str">
        <x:v>SQL-07</x:v>
      </x:c>
      <x:c r="J12" s="21" t="str">
        <x:v>対象schedule_id一覧</x:v>
      </x:c>
      <x:c r="K12" s="20" t="str">
        <x:v>未実施</x:v>
      </x:c>
      <x:c r="L12" s="20" t="str"/>
      <x:c r="M12" s="20" t="str"/>
      <x:c r="N12" s="21" t="str"/>
    </x:row>
    <x:row r="13" ht="70" customHeight="1">
      <x:c r="A13" s="20" t="str">
        <x:v>PT-008</x:v>
      </x:c>
      <x:c r="B13" s="20" t="str">
        <x:v>P1</x:v>
      </x:c>
      <x:c r="C13" s="21" t="str">
        <x:v>仕入先別分割</x:v>
      </x:c>
      <x:c r="D13" s="21" t="str">
        <x:v>同じ伝票番号でも仕入先が異なる場合は別仕入キューになる</x:v>
      </x:c>
      <x:c r="E13" s="21" t="str">
        <x:v>同一slip_numberでsupplier_codeが異なる確定明細。</x:v>
      </x:c>
      <x:c r="F13" s="21" t="str">
        <x:v>該当明細を送信する。</x:v>
      </x:c>
      <x:c r="G13" s="21" t="str">
        <x:v>キュー件数が仕入先数分になる。</x:v>
      </x:c>
      <x:c r="H13" s="21" t="str">
        <x:v>items.supplier_code ごとに別purchase_create_queue。</x:v>
      </x:c>
      <x:c r="I13" s="21" t="str">
        <x:v>SQL-07, SQL-11</x:v>
      </x:c>
      <x:c r="J13" s="21" t="str">
        <x:v>supplier_code一覧</x:v>
      </x:c>
      <x:c r="K13" s="20" t="str">
        <x:v>未実施</x:v>
      </x:c>
      <x:c r="L13" s="20" t="str"/>
      <x:c r="M13" s="20" t="str"/>
      <x:c r="N13" s="21" t="str"/>
    </x:row>
    <x:row r="14" ht="70" customHeight="1">
      <x:c r="A14" s="20" t="str">
        <x:v>PT-009</x:v>
      </x:c>
      <x:c r="B14" s="20" t="str">
        <x:v>P0</x:v>
      </x:c>
      <x:c r="C14" s="21" t="str">
        <x:v>単位</x:v>
      </x:c>
      <x:c r="D14" s="21" t="str">
        <x:v>仕入明細にquantity_typeが渡る</x:v>
      </x:c>
      <x:c r="E14" s="21" t="str">
        <x:v>CASEとPIECEが混在する入荷完了データ。</x:v>
      </x:c>
      <x:c r="F14" s="21" t="str">
        <x:v>仕入送信を実行する。</x:v>
      </x:c>
      <x:c r="G14" s="21" t="str">
        <x:v>UIでは送信済み。</x:v>
      </x:c>
      <x:c r="H14" s="21" t="str">
        <x:v>items.details[].quantity_type が schedule.quantity_type と一致する。</x:v>
      </x:c>
      <x:c r="I14" s="21" t="str">
        <x:v>SQL-07</x:v>
      </x:c>
      <x:c r="J14" s="21" t="str">
        <x:v>CASE/PIECE明細</x:v>
      </x:c>
      <x:c r="K14" s="20" t="str">
        <x:v>未実施</x:v>
      </x:c>
      <x:c r="L14" s="20" t="str"/>
      <x:c r="M14" s="20" t="str"/>
      <x:c r="N14" s="21" t="str"/>
    </x:row>
    <x:row r="15" ht="70" customHeight="1">
      <x:c r="A15" s="20" t="str">
        <x:v>PT-010</x:v>
      </x:c>
      <x:c r="B15" s="20" t="str">
        <x:v>P1</x:v>
      </x:c>
      <x:c r="C15" s="21" t="str">
        <x:v>欠品</x:v>
      </x:c>
      <x:c r="D15" s="21" t="str">
        <x:v>欠品数が仕入キュー明細と備考に残る</x:v>
      </x:c>
      <x:c r="E15" s="21" t="str">
        <x:v>shortage_quantity&gt;0の入荷完了データ。</x:v>
      </x:c>
      <x:c r="F15" s="21" t="str">
        <x:v>仕入送信を実行する。</x:v>
      </x:c>
      <x:c r="G15" s="21" t="str">
        <x:v>送信済みになる。</x:v>
      </x:c>
      <x:c r="H15" s="21" t="str">
        <x:v>items.details[].shortage_quantity に欠品数、items.note に欠品数が含まれる。</x:v>
      </x:c>
      <x:c r="I15" s="21" t="str">
        <x:v>SQL-07</x:v>
      </x:c>
      <x:c r="J15" s="21" t="str">
        <x:v>欠品schedule_id</x:v>
      </x:c>
      <x:c r="K15" s="20" t="str">
        <x:v>未実施</x:v>
      </x:c>
      <x:c r="L15" s="20" t="str"/>
      <x:c r="M15" s="20" t="str"/>
      <x:c r="N15" s="21" t="str"/>
    </x:row>
    <x:row r="16" ht="70" customHeight="1">
      <x:c r="A16" s="20" t="str">
        <x:v>PT-011</x:v>
      </x:c>
      <x:c r="B16" s="20" t="str">
        <x:v>P0</x:v>
      </x:c>
      <x:c r="C16" s="21" t="str">
        <x:v>91番倉庫</x:v>
      </x:c>
      <x:c r="D16" s="21" t="str">
        <x:v>自動実行では91番倉庫は仕入キューを作らない</x:v>
      </x:c>
      <x:c r="E16" s="21" t="str">
        <x:v>倉庫CD91の自動確定データ。</x:v>
      </x:c>
      <x:c r="F16" s="21" t="str">
        <x:v>EOSデータ受信設定または自動実行コマンドで実行する。</x:v>
      </x:c>
      <x:c r="G16" s="21" t="str">
        <x:v>実行ログに91番除外件数が表示される。</x:v>
      </x:c>
      <x:c r="H16" s="21" t="str">
        <x:v>schedule.status=CONFIRMED、purchase_queue_id is null、run.purchase_skipped_warehouse91_count&gt;0。</x:v>
      </x:c>
      <x:c r="I16" s="21" t="str">
        <x:v>SQL-03, SQL-08</x:v>
      </x:c>
      <x:c r="J16" s="21" t="str">
        <x:v>倉庫CD91のschedule_id</x:v>
      </x:c>
      <x:c r="K16" s="20" t="str">
        <x:v>未実施</x:v>
      </x:c>
      <x:c r="L16" s="20" t="str"/>
      <x:c r="M16" s="20" t="str"/>
      <x:c r="N16" s="21" t="str"/>
    </x:row>
    <x:row r="17" ht="70" customHeight="1">
      <x:c r="A17" s="20" t="str">
        <x:v>PT-012</x:v>
      </x:c>
      <x:c r="B17" s="20" t="str">
        <x:v>P1</x:v>
      </x:c>
      <x:c r="C17" s="21" t="str">
        <x:v>91番倉庫</x:v>
      </x:c>
      <x:c r="D17" s="21" t="str">
        <x:v>91番倉庫は手動で仕入送信できる</x:v>
      </x:c>
      <x:c r="E17" s="21" t="str">
        <x:v>倉庫CD91でpurchase_queue_id nullの入荷完了データ。</x:v>
      </x:c>
      <x:c r="F17" s="21" t="str">
        <x:v>入荷完了の91番倉庫タブで全送信または選択送信を実行する。</x:v>
      </x:c>
      <x:c r="G17" s="21" t="str">
        <x:v>仕入キューが作成される。</x:v>
      </x:c>
      <x:c r="H17" s="21" t="str">
        <x:v>purchase_create_queueに該当slip_numberが作成され、schedule.purchase_queue_idが入る。</x:v>
      </x:c>
      <x:c r="I17" s="21" t="str">
        <x:v>SQL-07</x:v>
      </x:c>
      <x:c r="J17" s="21" t="str">
        <x:v>91番schedule_id</x:v>
      </x:c>
      <x:c r="K17" s="20" t="str">
        <x:v>未実施</x:v>
      </x:c>
      <x:c r="L17" s="20" t="str"/>
      <x:c r="M17" s="20" t="str"/>
      <x:c r="N17" s="21" t="str"/>
    </x:row>
    <x:row r="18" ht="70" customHeight="1">
      <x:c r="A18" s="20" t="str">
        <x:v>PT-013</x:v>
      </x:c>
      <x:c r="B18" s="20" t="str">
        <x:v>P0</x:v>
      </x:c>
      <x:c r="C18" s="21" t="str">
        <x:v>EOS送信履歴</x:v>
      </x:c>
      <x:c r="D18" s="21" t="str">
        <x:v>自動仕入連携対象はEOS送信履歴がある伝票番号のみ</x:v>
      </x:c>
      <x:c r="E18" s="21" t="str">
        <x:v>isEosSent()がfalseの入荷完了データ。</x:v>
      </x:c>
      <x:c r="F18" s="21" t="str">
        <x:v>自動実行を行う。</x:v>
      </x:c>
      <x:c r="G18" s="21" t="str">
        <x:v>入荷確定はされるが仕入キューは作られない。</x:v>
      </x:c>
      <x:c r="H18" s="21" t="str">
        <x:v>run.purchase_skipped_not_eos_sent_count が増える。purchase_queue_id is null。</x:v>
      </x:c>
      <x:c r="I18" s="21" t="str">
        <x:v>SQL-03, SQL-08</x:v>
      </x:c>
      <x:c r="J18" s="21" t="str">
        <x:v>EOS送信履歴なしschedule_id</x:v>
      </x:c>
      <x:c r="K18" s="20" t="str">
        <x:v>未実施</x:v>
      </x:c>
      <x:c r="L18" s="20" t="str"/>
      <x:c r="M18" s="20" t="str"/>
      <x:c r="N18" s="21" t="str"/>
    </x:row>
    <x:row r="19" ht="70" customHeight="1">
      <x:c r="A19" s="20" t="str">
        <x:v>PT-014</x:v>
      </x:c>
      <x:c r="B19" s="20" t="str">
        <x:v>P0</x:v>
      </x:c>
      <x:c r="C19" s="21" t="str">
        <x:v>不明仕入先</x:v>
      </x:c>
      <x:c r="D19" s="21" t="str">
        <x:v>仕入先コードを解決できないデータは仕入キューを作らない</x:v>
      </x:c>
      <x:c r="E19" s="21" t="str">
        <x:v>supplier_id/contractor_idからpartner codeが解決できない入荷完了データ。</x:v>
      </x:c>
      <x:c r="F19" s="21" t="str">
        <x:v>仕入送信を実行する。</x:v>
      </x:c>
      <x:c r="G19" s="21" t="str">
        <x:v>一部エラー通知が出る。</x:v>
      </x:c>
      <x:c r="H19" s="21" t="str">
        <x:v>purchase_create_queueは作成されず、結果errorsに倉庫CD/仕入先CD/伝票番号の不足理由が出る。</x:v>
      </x:c>
      <x:c r="I19" s="21" t="str">
        <x:v>SQL-07, SQL-11</x:v>
      </x:c>
      <x:c r="J19" s="21" t="str">
        <x:v>不明仕入先schedule_id</x:v>
      </x:c>
      <x:c r="K19" s="20" t="str">
        <x:v>未実施</x:v>
      </x:c>
      <x:c r="L19" s="20" t="str"/>
      <x:c r="M19" s="20" t="str"/>
      <x:c r="N19" s="21" t="str"/>
    </x:row>
    <x:row r="20" ht="70" customHeight="1">
      <x:c r="A20" s="20" t="str">
        <x:v>PT-015</x:v>
      </x:c>
      <x:c r="B20" s="20" t="str">
        <x:v>P1</x:v>
      </x:c>
      <x:c r="C20" s="21" t="str">
        <x:v>内部取引</x:v>
      </x:c>
      <x:c r="D20" s="21" t="str">
        <x:v>内部連携設定の発注先は仕入キューを作らない</x:v>
      </x:c>
      <x:c r="E20" s="21" t="str">
        <x:v>contractor.wmsSetting.transmission_type=INTERNALの入荷完了データ。</x:v>
      </x:c>
      <x:c r="F20" s="21" t="str">
        <x:v>全送信で実行する。</x:v>
      </x:c>
      <x:c r="G20" s="21" t="str">
        <x:v>仕入キューなしで処理済みに進む。選択送信では対象外エラーになる。</x:v>
      </x:c>
      <x:c r="H20" s="21" t="str">
        <x:v>forPurchaseTransmission対象外。purchase_queue_id nullのままstatus=TRANSMITTEDになる。</x:v>
      </x:c>
      <x:c r="I20" s="21" t="str">
        <x:v>SQL-03, SQL-07</x:v>
      </x:c>
      <x:c r="J20" s="21" t="str">
        <x:v>内部発注先</x:v>
      </x:c>
      <x:c r="K20" s="20" t="str">
        <x:v>未実施</x:v>
      </x:c>
      <x:c r="L20" s="20" t="str"/>
      <x:c r="M20" s="20" t="str"/>
      <x:c r="N20" s="21" t="str"/>
    </x:row>
    <x:row r="21" ht="70" customHeight="1">
      <x:c r="A21" s="20" t="str">
        <x:v>PT-016</x:v>
      </x:c>
      <x:c r="B21" s="20" t="str">
        <x:v>P1</x:v>
      </x:c>
      <x:c r="C21" s="21" t="str">
        <x:v>移動入荷</x:v>
      </x:c>
      <x:c r="D21" s="21" t="str">
        <x:v>TRANSFER由来の入荷完了はpurchase_create_queue対象外</x:v>
      </x:c>
      <x:c r="E21" s="21" t="str">
        <x:v>order_source=TRANSFERまたはstock_transfer_idあり。</x:v>
      </x:c>
      <x:c r="F21" s="21" t="str">
        <x:v>入荷確定後の状態を確認する。</x:v>
      </x:c>
      <x:c r="G21" s="21" t="str">
        <x:v>入荷完了には表示されるが仕入送信対象として選択できない。</x:v>
      </x:c>
      <x:c r="H21" s="21" t="str">
        <x:v>purchase_create_queueは作らず、必要な場合はstock_transfer_queue action_type=DELIVER側で処理される。</x:v>
      </x:c>
      <x:c r="I21" s="21" t="str">
        <x:v>SQL-03</x:v>
      </x:c>
      <x:c r="J21" s="21" t="str">
        <x:v>TRANSFER schedule_id</x:v>
      </x:c>
      <x:c r="K21" s="20" t="str">
        <x:v>未実施</x:v>
      </x:c>
      <x:c r="L21" s="20" t="str"/>
      <x:c r="M21" s="20" t="str"/>
      <x:c r="N21" s="21" t="str"/>
    </x:row>
    <x:row r="22" ht="70" customHeight="1">
      <x:c r="A22" s="20" t="str">
        <x:v>PT-017</x:v>
      </x:c>
      <x:c r="B22" s="20" t="str">
        <x:v>P0</x:v>
      </x:c>
      <x:c r="C22" s="21" t="str">
        <x:v>排他</x:v>
      </x:c>
      <x:c r="D22" s="21" t="str">
        <x:v>仕入送信を連打/同時実行しても二重キューにならない</x:v>
      </x:c>
      <x:c r="E22" s="21" t="str">
        <x:v>同じ未送信入荷完了データを2画面で開く。</x:v>
      </x:c>
      <x:c r="F22" s="21" t="str">
        <x:v>ほぼ同時に送信を実行する。</x:v>
      </x:c>
      <x:c r="G22" s="21" t="str">
        <x:v>片方のみ成功、片方は対象なしまたはエラーになる。</x:v>
      </x:c>
      <x:c r="H22" s="21" t="str">
        <x:v>lockForUpdateとpurchase_queue_id更新により、同一schedule_idに複数queue_idが入らない。</x:v>
      </x:c>
      <x:c r="I22" s="21" t="str">
        <x:v>SQL-07, SQL-10</x:v>
      </x:c>
      <x:c r="J22" s="21" t="str">
        <x:v>同時実行schedule_id</x:v>
      </x:c>
      <x:c r="K22" s="20" t="str">
        <x:v>未実施</x:v>
      </x:c>
      <x:c r="L22" s="20" t="str"/>
      <x:c r="M22" s="20" t="str"/>
      <x:c r="N22" s="21" t="str"/>
    </x:row>
    <x:row r="23" ht="70" customHeight="1">
      <x:c r="A23" s="20" t="str">
        <x:v>PT-018</x:v>
      </x:c>
      <x:c r="B23" s="20" t="str">
        <x:v>P1</x:v>
      </x:c>
      <x:c r="C23" s="21" t="str">
        <x:v>大量明細</x:v>
      </x:c>
      <x:c r="D23" s="21" t="str">
        <x:v>同一グループが100明細を超える場合は100件単位で分割される</x:v>
      </x:c>
      <x:c r="E23" s="21" t="str">
        <x:v>同一グループに101件以上の未送信入荷完了データ。</x:v>
      </x:c>
      <x:c r="F23" s="21" t="str">
        <x:v>全送信または選択送信する。</x:v>
      </x:c>
      <x:c r="G23" s="21" t="str">
        <x:v>キューが複数件作成される。</x:v>
      </x:c>
      <x:c r="H23" s="21" t="str">
        <x:v>1 purchase_create_queue あたり details件数が最大100。</x:v>
      </x:c>
      <x:c r="I23" s="21" t="str">
        <x:v>SQL-07</x:v>
      </x:c>
      <x:c r="J23" s="21" t="str">
        <x:v>大量グループ条件</x:v>
      </x:c>
      <x:c r="K23" s="20" t="str">
        <x:v>未実施</x:v>
      </x:c>
      <x:c r="L23" s="20" t="str"/>
      <x:c r="M23" s="20" t="str"/>
      <x:c r="N23" s="21" t="str"/>
    </x:row>
    <x:row r="24" ht="70" customHeight="1">
      <x:c r="A24" s="20" t="str">
        <x:v>PT-019</x:v>
      </x:c>
      <x:c r="B24" s="20" t="str">
        <x:v>P1</x:v>
      </x:c>
      <x:c r="C24" s="21" t="str">
        <x:v>修正不可</x:v>
      </x:c>
      <x:c r="D24" s="21" t="str">
        <x:v>仕入キュー作成後は入荷確定データを修正できない</x:v>
      </x:c>
      <x:c r="E24" s="21" t="str">
        <x:v>purchase_queue_id が入った入荷完了データ。</x:v>
      </x:c>
      <x:c r="F24" s="21" t="str">
        <x:v>入荷完了画面で修正アクションの表示と直接更新防止を確認する。</x:v>
      </x:c>
      <x:c r="G24" s="21" t="str">
        <x:v>修正アクションが表示されない、または修正しようとしてもエラー。</x:v>
      </x:c>
      <x:c r="H24" s="21" t="str">
        <x:v>purchase_queue_id != null の行は修正処理で例外になる。</x:v>
      </x:c>
      <x:c r="I24" s="21" t="str">
        <x:v>SQL-03</x:v>
      </x:c>
      <x:c r="J24" s="21" t="str">
        <x:v>送信済みschedule_id</x:v>
      </x:c>
      <x:c r="K24" s="20" t="str">
        <x:v>未実施</x:v>
      </x:c>
      <x:c r="L24" s="20" t="str"/>
      <x:c r="M24" s="20" t="str"/>
      <x:c r="N24" s="21" t="str"/>
    </x:row>
    <x:row r="25" ht="70" customHeight="1">
      <x:c r="A25" s="20" t="str">
        <x:v>PT-020</x:v>
      </x:c>
      <x:c r="B25" s="20" t="str">
        <x:v>P1</x:v>
      </x:c>
      <x:c r="C25" s="21" t="str">
        <x:v>通知/ログ</x:v>
      </x:c>
      <x:c r="D25" s="21" t="str">
        <x:v>仕入送信エラーは通知とログで原因が追える</x:v>
      </x:c>
      <x:c r="E25" s="21" t="str">
        <x:v>不足項目のある入荷完了データを含める。</x:v>
      </x:c>
      <x:c r="F25" s="21" t="str">
        <x:v>選択送信または全送信する。</x:v>
      </x:c>
      <x:c r="G25" s="21" t="str">
        <x:v>成功件数/エラー件数と先頭エラーが通知に出る。</x:v>
      </x:c>
      <x:c r="H25" s="21" t="str">
        <x:v>IncomingTransmissionServiceのerrorsにgroup_keyまたはschedule_idが含まれる。自動実行ではrun logsにerror。</x:v>
      </x:c>
      <x:c r="I25" s="21" t="str">
        <x:v>SQL-08</x:v>
      </x:c>
      <x:c r="J25" s="21" t="str">
        <x:v>エラー対象schedule_id</x:v>
      </x:c>
      <x:c r="K25" s="20" t="str">
        <x:v>未実施</x:v>
      </x:c>
      <x:c r="L25" s="20" t="str"/>
      <x:c r="M25" s="20" t="str"/>
      <x:c r="N25" s="21" t="str"/>
    </x:row>
    <x:row r="26">
      <x:c r="K26" s="18"/>
      <x:c r="L26" s="18"/>
      <x:c r="M26" s="18"/>
    </x:row>
    <x:row r="27">
      <x:c r="K27" s="18"/>
      <x:c r="L27" s="18"/>
      <x:c r="M27" s="18"/>
    </x:row>
    <x:row r="28">
      <x:c r="K28" s="18"/>
      <x:c r="L28" s="18"/>
      <x:c r="M28" s="18"/>
    </x:row>
    <x:row r="29">
      <x:c r="K29" s="18"/>
      <x:c r="L29" s="18"/>
      <x:c r="M29" s="18"/>
    </x:row>
    <x:row r="30">
      <x:c r="K30" s="18"/>
      <x:c r="L30" s="18"/>
      <x:c r="M30" s="18"/>
    </x:row>
    <x:row r="31">
      <x:c r="K31" s="18"/>
      <x:c r="L31" s="18"/>
      <x:c r="M31" s="18"/>
    </x:row>
    <x:row r="32">
      <x:c r="K32" s="18"/>
      <x:c r="L32" s="18"/>
      <x:c r="M32" s="18"/>
    </x:row>
    <x:row r="33">
      <x:c r="K33" s="18"/>
      <x:c r="L33" s="18"/>
      <x:c r="M33" s="18"/>
    </x:row>
    <x:row r="34">
      <x:c r="K34" s="18"/>
      <x:c r="L34" s="18"/>
      <x:c r="M34" s="18"/>
    </x:row>
    <x:row r="35">
      <x:c r="K35" s="18"/>
      <x:c r="L35" s="18"/>
      <x:c r="M35" s="18"/>
    </x:row>
    <x:row r="36">
      <x:c r="K36" s="18"/>
      <x:c r="L36" s="18"/>
      <x:c r="M36" s="18"/>
    </x:row>
    <x:row r="37">
      <x:c r="K37" s="18"/>
      <x:c r="L37" s="18"/>
      <x:c r="M37" s="18"/>
    </x:row>
    <x:row r="38">
      <x:c r="K38" s="18"/>
      <x:c r="L38" s="18"/>
      <x:c r="M38" s="18"/>
    </x:row>
    <x:row r="39">
      <x:c r="K39" s="18"/>
      <x:c r="L39" s="18"/>
      <x:c r="M39" s="18"/>
    </x:row>
    <x:row r="40">
      <x:c r="K40" s="18"/>
      <x:c r="L40" s="18"/>
      <x:c r="M40" s="18"/>
    </x:row>
    <x:row r="41">
      <x:c r="K41" s="18"/>
      <x:c r="L41" s="18"/>
      <x:c r="M41" s="18"/>
    </x:row>
    <x:row r="42">
      <x:c r="K42" s="18"/>
      <x:c r="L42" s="18"/>
      <x:c r="M42" s="18"/>
    </x:row>
    <x:row r="43">
      <x:c r="K43" s="18"/>
      <x:c r="L43" s="18"/>
      <x:c r="M43" s="18"/>
    </x:row>
    <x:row r="44">
      <x:c r="K44" s="18"/>
      <x:c r="L44" s="18"/>
      <x:c r="M44" s="18"/>
    </x:row>
    <x:row r="45">
      <x:c r="K45" s="18"/>
      <x:c r="L45" s="18"/>
      <x:c r="M45" s="18"/>
    </x:row>
    <x:row r="46">
      <x:c r="K46" s="18"/>
      <x:c r="L46" s="18"/>
      <x:c r="M46" s="18"/>
    </x:row>
    <x:row r="47">
      <x:c r="K47" s="18"/>
      <x:c r="L47" s="18"/>
      <x:c r="M47" s="18"/>
    </x:row>
    <x:row r="48">
      <x:c r="K48" s="18"/>
      <x:c r="L48" s="18"/>
      <x:c r="M48" s="18"/>
    </x:row>
    <x:row r="49">
      <x:c r="K49" s="18"/>
      <x:c r="L49" s="18"/>
      <x:c r="M49" s="18"/>
    </x:row>
    <x:row r="50">
      <x:c r="K50" s="18"/>
      <x:c r="L50" s="18"/>
      <x:c r="M50" s="18"/>
    </x:row>
    <x:row r="51">
      <x:c r="K51" s="18"/>
      <x:c r="L51" s="18"/>
      <x:c r="M51" s="18"/>
    </x:row>
    <x:row r="52">
      <x:c r="K52" s="18"/>
      <x:c r="L52" s="18"/>
      <x:c r="M52" s="18"/>
    </x:row>
    <x:row r="53">
      <x:c r="K53" s="18"/>
      <x:c r="L53" s="18"/>
      <x:c r="M53" s="18"/>
    </x:row>
    <x:row r="54">
      <x:c r="K54" s="18"/>
      <x:c r="L54" s="18"/>
      <x:c r="M54" s="18"/>
    </x:row>
    <x:row r="55">
      <x:c r="K55" s="18"/>
      <x:c r="L55" s="18"/>
      <x:c r="M55" s="18"/>
    </x:row>
    <x:row r="56">
      <x:c r="K56" s="18"/>
      <x:c r="L56" s="18"/>
      <x:c r="M56" s="18"/>
    </x:row>
    <x:row r="57">
      <x:c r="K57" s="18"/>
      <x:c r="L57" s="18"/>
      <x:c r="M57" s="18"/>
    </x:row>
    <x:row r="58">
      <x:c r="K58" s="18"/>
      <x:c r="L58" s="18"/>
      <x:c r="M58" s="18"/>
    </x:row>
    <x:row r="59">
      <x:c r="K59" s="18"/>
      <x:c r="L59" s="18"/>
      <x:c r="M59" s="18"/>
    </x:row>
    <x:row r="60">
      <x:c r="K60" s="18"/>
      <x:c r="L60" s="18"/>
      <x:c r="M60" s="18"/>
    </x:row>
    <x:row r="61">
      <x:c r="K61" s="18"/>
      <x:c r="L61" s="18"/>
      <x:c r="M61" s="18"/>
    </x:row>
    <x:row r="62">
      <x:c r="K62" s="18"/>
      <x:c r="L62" s="18"/>
      <x:c r="M62" s="18"/>
    </x:row>
    <x:row r="63">
      <x:c r="K63" s="18"/>
      <x:c r="L63" s="18"/>
      <x:c r="M63" s="18"/>
    </x:row>
    <x:row r="64">
      <x:c r="K64" s="18"/>
      <x:c r="L64" s="18"/>
      <x:c r="M64" s="18"/>
    </x:row>
    <x:row r="65">
      <x:c r="K65" s="18"/>
      <x:c r="L65" s="18"/>
      <x:c r="M65" s="18"/>
    </x:row>
    <x:row r="66">
      <x:c r="K66" s="18"/>
      <x:c r="L66" s="18"/>
      <x:c r="M66" s="18"/>
    </x:row>
    <x:row r="67">
      <x:c r="K67" s="18"/>
      <x:c r="L67" s="18"/>
      <x:c r="M67" s="18"/>
    </x:row>
    <x:row r="68">
      <x:c r="K68" s="18"/>
      <x:c r="L68" s="18"/>
      <x:c r="M68" s="18"/>
    </x:row>
    <x:row r="69">
      <x:c r="K69" s="18"/>
      <x:c r="L69" s="18"/>
      <x:c r="M69" s="18"/>
    </x:row>
    <x:row r="70">
      <x:c r="K70" s="18"/>
      <x:c r="L70" s="18"/>
      <x:c r="M70" s="18"/>
    </x:row>
    <x:row r="71">
      <x:c r="K71" s="18"/>
      <x:c r="L71" s="18"/>
      <x:c r="M71" s="18"/>
    </x:row>
    <x:row r="72">
      <x:c r="K72" s="18"/>
      <x:c r="L72" s="18"/>
      <x:c r="M72" s="18"/>
    </x:row>
    <x:row r="73">
      <x:c r="K73" s="18"/>
      <x:c r="L73" s="18"/>
      <x:c r="M73" s="18"/>
    </x:row>
    <x:row r="74">
      <x:c r="K74" s="18"/>
      <x:c r="L74" s="18"/>
      <x:c r="M74" s="18"/>
    </x:row>
    <x:row r="75">
      <x:c r="K75" s="18"/>
      <x:c r="L75" s="18"/>
      <x:c r="M75" s="18"/>
    </x:row>
    <x:row r="76">
      <x:c r="K76" s="18"/>
      <x:c r="L76" s="18"/>
      <x:c r="M76" s="18"/>
    </x:row>
    <x:row r="77">
      <x:c r="K77" s="18"/>
      <x:c r="L77" s="18"/>
      <x:c r="M77" s="18"/>
    </x:row>
    <x:row r="78">
      <x:c r="K78" s="18"/>
      <x:c r="L78" s="18"/>
      <x:c r="M78" s="18"/>
    </x:row>
    <x:row r="79">
      <x:c r="K79" s="18"/>
      <x:c r="L79" s="18"/>
      <x:c r="M79" s="18"/>
    </x:row>
    <x:row r="80">
      <x:c r="K80" s="18"/>
      <x:c r="L80" s="18"/>
      <x:c r="M80" s="18"/>
    </x:row>
    <x:row r="81">
      <x:c r="K81" s="18"/>
      <x:c r="L81" s="18"/>
      <x:c r="M81" s="18"/>
    </x:row>
    <x:row r="82">
      <x:c r="K82" s="18"/>
      <x:c r="L82" s="18"/>
      <x:c r="M82" s="18"/>
    </x:row>
    <x:row r="83">
      <x:c r="K83" s="18"/>
      <x:c r="L83" s="18"/>
      <x:c r="M83" s="18"/>
    </x:row>
    <x:row r="84">
      <x:c r="K84" s="18"/>
      <x:c r="L84" s="18"/>
      <x:c r="M84" s="18"/>
    </x:row>
    <x:row r="85">
      <x:c r="K85" s="18"/>
      <x:c r="L85" s="18"/>
      <x:c r="M85" s="18"/>
    </x:row>
    <x:row r="86">
      <x:c r="K86" s="18"/>
      <x:c r="L86" s="18"/>
      <x:c r="M86" s="18"/>
    </x:row>
    <x:row r="87">
      <x:c r="K87" s="18"/>
      <x:c r="L87" s="18"/>
      <x:c r="M87" s="18"/>
    </x:row>
    <x:row r="88">
      <x:c r="K88" s="18"/>
      <x:c r="L88" s="18"/>
      <x:c r="M88" s="18"/>
    </x:row>
    <x:row r="89">
      <x:c r="K89" s="18"/>
      <x:c r="L89" s="18"/>
      <x:c r="M89" s="18"/>
    </x:row>
    <x:row r="90">
      <x:c r="K90" s="18"/>
      <x:c r="L90" s="18"/>
      <x:c r="M90" s="18"/>
    </x:row>
    <x:row r="91">
      <x:c r="K91" s="18"/>
      <x:c r="L91" s="18"/>
      <x:c r="M91" s="18"/>
    </x:row>
    <x:row r="92">
      <x:c r="K92" s="18"/>
      <x:c r="L92" s="18"/>
      <x:c r="M92" s="18"/>
    </x:row>
    <x:row r="93">
      <x:c r="K93" s="18"/>
      <x:c r="L93" s="18"/>
      <x:c r="M93" s="18"/>
    </x:row>
    <x:row r="94">
      <x:c r="K94" s="18"/>
      <x:c r="L94" s="18"/>
      <x:c r="M94" s="18"/>
    </x:row>
    <x:row r="95">
      <x:c r="K95" s="18"/>
      <x:c r="L95" s="18"/>
      <x:c r="M95" s="18"/>
    </x:row>
    <x:row r="96">
      <x:c r="K96" s="18"/>
      <x:c r="L96" s="18"/>
      <x:c r="M96" s="18"/>
    </x:row>
    <x:row r="97">
      <x:c r="K97" s="18"/>
      <x:c r="L97" s="18"/>
      <x:c r="M97" s="18"/>
    </x:row>
    <x:row r="98">
      <x:c r="K98" s="18"/>
      <x:c r="L98" s="18"/>
      <x:c r="M98" s="18"/>
    </x:row>
    <x:row r="99">
      <x:c r="K99" s="18"/>
      <x:c r="L99" s="18"/>
      <x:c r="M99" s="18"/>
    </x:row>
    <x:row r="100">
      <x:c r="K100" s="18"/>
      <x:c r="L100" s="18"/>
      <x:c r="M100" s="18"/>
    </x:row>
    <x:row r="101">
      <x:c r="K101" s="18"/>
      <x:c r="L101" s="18"/>
      <x:c r="M101" s="18"/>
    </x:row>
    <x:row r="102">
      <x:c r="K102" s="18"/>
      <x:c r="L102" s="18"/>
      <x:c r="M102" s="18"/>
    </x:row>
    <x:row r="103">
      <x:c r="K103" s="18"/>
      <x:c r="L103" s="18"/>
      <x:c r="M103" s="18"/>
    </x:row>
    <x:row r="104">
      <x:c r="K104" s="18"/>
      <x:c r="L104" s="18"/>
      <x:c r="M104" s="18"/>
    </x:row>
    <x:row r="105">
      <x:c r="K105" s="18"/>
      <x:c r="L105" s="18"/>
      <x:c r="M105" s="18"/>
    </x:row>
    <x:row r="106">
      <x:c r="K106" s="18"/>
      <x:c r="L106" s="18"/>
      <x:c r="M106" s="18"/>
    </x:row>
    <x:row r="107">
      <x:c r="K107" s="18"/>
      <x:c r="L107" s="18"/>
      <x:c r="M107" s="18"/>
    </x:row>
    <x:row r="108">
      <x:c r="K108" s="18"/>
      <x:c r="L108" s="18"/>
      <x:c r="M108" s="18"/>
    </x:row>
    <x:row r="109">
      <x:c r="K109" s="18"/>
      <x:c r="L109" s="18"/>
      <x:c r="M109" s="18"/>
    </x:row>
    <x:row r="110">
      <x:c r="K110" s="18"/>
      <x:c r="L110" s="18"/>
      <x:c r="M110" s="18"/>
    </x:row>
    <x:row r="111">
      <x:c r="K111" s="18"/>
      <x:c r="L111" s="18"/>
      <x:c r="M111" s="18"/>
    </x:row>
    <x:row r="112">
      <x:c r="K112" s="18"/>
      <x:c r="L112" s="18"/>
      <x:c r="M112" s="18"/>
    </x:row>
    <x:row r="113">
      <x:c r="K113" s="18"/>
      <x:c r="L113" s="18"/>
      <x:c r="M113" s="18"/>
    </x:row>
    <x:row r="114">
      <x:c r="K114" s="18"/>
      <x:c r="L114" s="18"/>
      <x:c r="M114" s="18"/>
    </x:row>
    <x:row r="115">
      <x:c r="K115" s="18"/>
      <x:c r="L115" s="18"/>
      <x:c r="M115" s="18"/>
    </x:row>
    <x:row r="116">
      <x:c r="K116" s="18"/>
      <x:c r="L116" s="18"/>
      <x:c r="M116" s="18"/>
    </x:row>
    <x:row r="117">
      <x:c r="K117" s="18"/>
      <x:c r="L117" s="18"/>
      <x:c r="M117" s="18"/>
    </x:row>
    <x:row r="118">
      <x:c r="K118" s="18"/>
      <x:c r="L118" s="18"/>
      <x:c r="M118" s="18"/>
    </x:row>
    <x:row r="119">
      <x:c r="K119" s="18"/>
      <x:c r="L119" s="18"/>
      <x:c r="M119" s="18"/>
    </x:row>
    <x:row r="120">
      <x:c r="K120" s="18"/>
      <x:c r="L120" s="18"/>
      <x:c r="M120" s="18"/>
    </x:row>
    <x:row r="121">
      <x:c r="K121" s="18"/>
      <x:c r="L121" s="18"/>
      <x:c r="M121" s="18"/>
    </x:row>
    <x:row r="122">
      <x:c r="K122" s="18"/>
      <x:c r="L122" s="18"/>
      <x:c r="M122" s="18"/>
    </x:row>
    <x:row r="123">
      <x:c r="K123" s="18"/>
      <x:c r="L123" s="18"/>
      <x:c r="M123" s="18"/>
    </x:row>
    <x:row r="124">
      <x:c r="K124" s="18"/>
      <x:c r="L124" s="18"/>
      <x:c r="M124" s="18"/>
    </x:row>
    <x:row r="125">
      <x:c r="K125" s="18"/>
      <x:c r="L125" s="18"/>
      <x:c r="M125" s="18"/>
    </x:row>
    <x:row r="126">
      <x:c r="K126" s="18"/>
      <x:c r="L126" s="18"/>
      <x:c r="M126" s="18"/>
    </x:row>
    <x:row r="127">
      <x:c r="K127" s="18"/>
      <x:c r="L127" s="18"/>
      <x:c r="M127" s="18"/>
    </x:row>
    <x:row r="128">
      <x:c r="K128" s="18"/>
      <x:c r="L128" s="18"/>
      <x:c r="M128" s="18"/>
    </x:row>
    <x:row r="129">
      <x:c r="K129" s="18"/>
      <x:c r="L129" s="18"/>
      <x:c r="M129" s="18"/>
    </x:row>
    <x:row r="130">
      <x:c r="K130" s="18"/>
      <x:c r="L130" s="18"/>
      <x:c r="M130" s="18"/>
    </x:row>
    <x:row r="131">
      <x:c r="K131" s="18"/>
      <x:c r="L131" s="18"/>
      <x:c r="M131" s="18"/>
    </x:row>
    <x:row r="132">
      <x:c r="K132" s="18"/>
      <x:c r="L132" s="18"/>
      <x:c r="M132" s="18"/>
    </x:row>
    <x:row r="133">
      <x:c r="K133" s="18"/>
      <x:c r="L133" s="18"/>
      <x:c r="M133" s="18"/>
    </x:row>
    <x:row r="134">
      <x:c r="K134" s="18"/>
      <x:c r="L134" s="18"/>
      <x:c r="M134" s="18"/>
    </x:row>
    <x:row r="135">
      <x:c r="K135" s="18"/>
      <x:c r="L135" s="18"/>
      <x:c r="M135" s="18"/>
    </x:row>
    <x:row r="136">
      <x:c r="K136" s="18"/>
      <x:c r="L136" s="18"/>
      <x:c r="M136" s="18"/>
    </x:row>
    <x:row r="137">
      <x:c r="K137" s="18"/>
      <x:c r="L137" s="18"/>
      <x:c r="M137" s="18"/>
    </x:row>
    <x:row r="138">
      <x:c r="K138" s="18"/>
      <x:c r="L138" s="18"/>
      <x:c r="M138" s="18"/>
    </x:row>
    <x:row r="139">
      <x:c r="K139" s="18"/>
      <x:c r="L139" s="18"/>
      <x:c r="M139" s="18"/>
    </x:row>
    <x:row r="140">
      <x:c r="K140" s="18"/>
      <x:c r="L140" s="18"/>
      <x:c r="M140" s="18"/>
    </x:row>
    <x:row r="141">
      <x:c r="K141" s="18"/>
      <x:c r="L141" s="18"/>
      <x:c r="M141" s="18"/>
    </x:row>
    <x:row r="142">
      <x:c r="K142" s="18"/>
      <x:c r="L142" s="18"/>
      <x:c r="M142" s="18"/>
    </x:row>
    <x:row r="143">
      <x:c r="K143" s="18"/>
      <x:c r="L143" s="18"/>
      <x:c r="M143" s="18"/>
    </x:row>
    <x:row r="144">
      <x:c r="K144" s="18"/>
      <x:c r="L144" s="18"/>
      <x:c r="M144" s="18"/>
    </x:row>
    <x:row r="145">
      <x:c r="K145" s="18"/>
      <x:c r="L145" s="18"/>
      <x:c r="M145" s="18"/>
    </x:row>
    <x:row r="146">
      <x:c r="K146" s="18"/>
      <x:c r="L146" s="18"/>
      <x:c r="M146" s="18"/>
    </x:row>
    <x:row r="147">
      <x:c r="K147" s="18"/>
      <x:c r="L147" s="18"/>
      <x:c r="M147" s="18"/>
    </x:row>
    <x:row r="148">
      <x:c r="K148" s="18"/>
      <x:c r="L148" s="18"/>
      <x:c r="M148" s="18"/>
    </x:row>
    <x:row r="149">
      <x:c r="K149" s="18"/>
      <x:c r="L149" s="18"/>
      <x:c r="M149" s="18"/>
    </x:row>
    <x:row r="150">
      <x:c r="K150" s="18"/>
      <x:c r="L150" s="18"/>
      <x:c r="M150" s="18"/>
    </x:row>
    <x:row r="151">
      <x:c r="K151" s="18"/>
      <x:c r="L151" s="18"/>
      <x:c r="M151" s="18"/>
    </x:row>
    <x:row r="152">
      <x:c r="K152" s="18"/>
      <x:c r="L152" s="18"/>
      <x:c r="M152" s="18"/>
    </x:row>
    <x:row r="153">
      <x:c r="K153" s="18"/>
      <x:c r="L153" s="18"/>
      <x:c r="M153" s="18"/>
    </x:row>
    <x:row r="154">
      <x:c r="K154" s="18"/>
      <x:c r="L154" s="18"/>
      <x:c r="M154" s="18"/>
    </x:row>
    <x:row r="155">
      <x:c r="K155" s="18"/>
      <x:c r="L155" s="18"/>
      <x:c r="M155" s="18"/>
    </x:row>
    <x:row r="156">
      <x:c r="K156" s="18"/>
      <x:c r="L156" s="18"/>
      <x:c r="M156" s="18"/>
    </x:row>
    <x:row r="157">
      <x:c r="K157" s="18"/>
      <x:c r="L157" s="18"/>
      <x:c r="M157" s="18"/>
    </x:row>
    <x:row r="158">
      <x:c r="K158" s="18"/>
      <x:c r="L158" s="18"/>
      <x:c r="M158" s="18"/>
    </x:row>
    <x:row r="159">
      <x:c r="K159" s="18"/>
      <x:c r="L159" s="18"/>
      <x:c r="M159" s="18"/>
    </x:row>
    <x:row r="160">
      <x:c r="K160" s="18"/>
      <x:c r="L160" s="18"/>
      <x:c r="M160" s="18"/>
    </x:row>
    <x:row r="161">
      <x:c r="K161" s="18"/>
      <x:c r="L161" s="18"/>
      <x:c r="M161" s="18"/>
    </x:row>
    <x:row r="162">
      <x:c r="K162" s="18"/>
      <x:c r="L162" s="18"/>
      <x:c r="M162" s="18"/>
    </x:row>
    <x:row r="163">
      <x:c r="K163" s="18"/>
      <x:c r="L163" s="18"/>
      <x:c r="M163" s="18"/>
    </x:row>
    <x:row r="164">
      <x:c r="K164" s="18"/>
      <x:c r="L164" s="18"/>
      <x:c r="M164" s="18"/>
    </x:row>
    <x:row r="165">
      <x:c r="K165" s="18"/>
      <x:c r="L165" s="18"/>
      <x:c r="M165" s="18"/>
    </x:row>
    <x:row r="166">
      <x:c r="K166" s="18"/>
      <x:c r="L166" s="18"/>
      <x:c r="M166" s="18"/>
    </x:row>
    <x:row r="167">
      <x:c r="K167" s="18"/>
      <x:c r="L167" s="18"/>
      <x:c r="M167" s="18"/>
    </x:row>
    <x:row r="168">
      <x:c r="K168" s="18"/>
      <x:c r="L168" s="18"/>
      <x:c r="M168" s="18"/>
    </x:row>
    <x:row r="169">
      <x:c r="K169" s="18"/>
      <x:c r="L169" s="18"/>
      <x:c r="M169" s="18"/>
    </x:row>
    <x:row r="170">
      <x:c r="K170" s="18"/>
      <x:c r="L170" s="18"/>
      <x:c r="M170" s="18"/>
    </x:row>
    <x:row r="171">
      <x:c r="K171" s="18"/>
      <x:c r="L171" s="18"/>
      <x:c r="M171" s="18"/>
    </x:row>
    <x:row r="172">
      <x:c r="K172" s="18"/>
      <x:c r="L172" s="18"/>
      <x:c r="M172" s="18"/>
    </x:row>
    <x:row r="173">
      <x:c r="K173" s="18"/>
      <x:c r="L173" s="18"/>
      <x:c r="M173" s="18"/>
    </x:row>
    <x:row r="174">
      <x:c r="K174" s="18"/>
      <x:c r="L174" s="18"/>
      <x:c r="M174" s="18"/>
    </x:row>
    <x:row r="175">
      <x:c r="K175" s="18"/>
      <x:c r="L175" s="18"/>
      <x:c r="M175" s="18"/>
    </x:row>
    <x:row r="176">
      <x:c r="K176" s="18"/>
      <x:c r="L176" s="18"/>
      <x:c r="M176" s="18"/>
    </x:row>
    <x:row r="177">
      <x:c r="K177" s="18"/>
      <x:c r="L177" s="18"/>
      <x:c r="M177" s="18"/>
    </x:row>
    <x:row r="178">
      <x:c r="K178" s="18"/>
      <x:c r="L178" s="18"/>
      <x:c r="M178" s="18"/>
    </x:row>
    <x:row r="179">
      <x:c r="K179" s="18"/>
      <x:c r="L179" s="18"/>
      <x:c r="M179" s="18"/>
    </x:row>
    <x:row r="180">
      <x:c r="K180" s="18"/>
      <x:c r="L180" s="18"/>
      <x:c r="M180" s="18"/>
    </x:row>
    <x:row r="181">
      <x:c r="K181" s="18"/>
      <x:c r="L181" s="18"/>
      <x:c r="M181" s="18"/>
    </x:row>
    <x:row r="182">
      <x:c r="K182" s="18"/>
      <x:c r="L182" s="18"/>
      <x:c r="M182" s="18"/>
    </x:row>
    <x:row r="183">
      <x:c r="K183" s="18"/>
      <x:c r="L183" s="18"/>
      <x:c r="M183" s="18"/>
    </x:row>
    <x:row r="184">
      <x:c r="K184" s="18"/>
      <x:c r="L184" s="18"/>
      <x:c r="M184" s="18"/>
    </x:row>
    <x:row r="185">
      <x:c r="K185" s="18"/>
      <x:c r="L185" s="18"/>
      <x:c r="M185" s="18"/>
    </x:row>
    <x:row r="186">
      <x:c r="K186" s="18"/>
      <x:c r="L186" s="18"/>
      <x:c r="M186" s="18"/>
    </x:row>
    <x:row r="187">
      <x:c r="K187" s="18"/>
      <x:c r="L187" s="18"/>
      <x:c r="M187" s="18"/>
    </x:row>
    <x:row r="188">
      <x:c r="K188" s="18"/>
      <x:c r="L188" s="18"/>
      <x:c r="M188" s="18"/>
    </x:row>
    <x:row r="189">
      <x:c r="K189" s="18"/>
      <x:c r="L189" s="18"/>
      <x:c r="M189" s="18"/>
    </x:row>
    <x:row r="190">
      <x:c r="K190" s="18"/>
      <x:c r="L190" s="18"/>
      <x:c r="M190" s="18"/>
    </x:row>
    <x:row r="191">
      <x:c r="K191" s="18"/>
      <x:c r="L191" s="18"/>
      <x:c r="M191" s="18"/>
    </x:row>
    <x:row r="192">
      <x:c r="K192" s="18"/>
      <x:c r="L192" s="18"/>
      <x:c r="M192" s="18"/>
    </x:row>
    <x:row r="193">
      <x:c r="K193" s="18"/>
      <x:c r="L193" s="18"/>
      <x:c r="M193" s="18"/>
    </x:row>
    <x:row r="194">
      <x:c r="K194" s="18"/>
      <x:c r="L194" s="18"/>
      <x:c r="M194" s="18"/>
    </x:row>
    <x:row r="195">
      <x:c r="K195" s="18"/>
      <x:c r="L195" s="18"/>
      <x:c r="M195" s="18"/>
    </x:row>
    <x:row r="196">
      <x:c r="K196" s="18"/>
      <x:c r="L196" s="18"/>
      <x:c r="M196" s="18"/>
    </x:row>
    <x:row r="197">
      <x:c r="K197" s="18"/>
      <x:c r="L197" s="18"/>
      <x:c r="M197" s="18"/>
    </x:row>
    <x:row r="198">
      <x:c r="K198" s="18"/>
      <x:c r="L198" s="18"/>
      <x:c r="M198" s="18"/>
    </x:row>
    <x:row r="199">
      <x:c r="K199" s="18"/>
      <x:c r="L199" s="18"/>
      <x:c r="M199" s="18"/>
    </x:row>
    <x:row r="200">
      <x:c r="K200" s="18"/>
      <x:c r="L200" s="18"/>
      <x:c r="M200" s="18"/>
    </x:row>
    <x:row r="201">
      <x:c r="K201" s="18"/>
      <x:c r="L201" s="18"/>
      <x:c r="M201" s="18"/>
    </x:row>
    <x:row r="202">
      <x:c r="K202" s="18"/>
      <x:c r="L202" s="18"/>
      <x:c r="M202" s="18"/>
    </x:row>
    <x:row r="203">
      <x:c r="K203" s="18"/>
      <x:c r="L203" s="18"/>
      <x:c r="M203" s="18"/>
    </x:row>
    <x:row r="204">
      <x:c r="K204" s="18"/>
      <x:c r="L204" s="18"/>
      <x:c r="M204" s="18"/>
    </x:row>
    <x:row r="205">
      <x:c r="K205" s="18"/>
      <x:c r="L205" s="18"/>
      <x:c r="M205" s="18"/>
    </x:row>
  </x:sheetData>
  <x:mergeCells>
    <x:mergeCell ref="A1:N1"/>
    <x:mergeCell ref="A2:N2"/>
    <x:mergeCell ref="A4:N4"/>
  </x:mergeCells>
  <x:conditionalFormatting sqref="K6:K205">
    <x:cfRule type="containsText" dxfId="4" priority="1" operator="containsText" text="OK"/>
    <x:cfRule type="containsText" dxfId="5" priority="2" operator="containsText" text="NG"/>
    <x:cfRule type="containsText" dxfId="6" priority="3" operator="containsText" text="保留"/>
    <x:cfRule type="containsText" dxfId="7" priority="4" operator="containsText" text="対象外"/>
  </x:conditionalFormatting>
  <x:dataValidations count="2">
    <x:dataValidation type="list" sqref="K6:K205">
      <x:formula1>"未実施,OK,NG,保留,対象外"</x:formula1>
    </x:dataValidation>
    <x:dataValidation type="list" sqref="B6:B205">
      <x:formula1>"P0,P1,P2,P3"</x:formula1>
    </x:dataValidation>
  </x:dataValidations>
  <x:pageMargins left="0.7" right="0.7" top="0.75" bottom="0.75" header="0.3" footer="0.3"/>
  <x:tableParts count="1">
    <x:tablePart xmlns:r="http://schemas.openxmlformats.org/officeDocument/2006/relationships" r:id="R3ff814cba45b41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18" hidden="0" customWidth="1"/>
    <x:col min="4" max="4" width="34" hidden="0" customWidth="1"/>
    <x:col min="5" max="5" width="48" hidden="0" customWidth="1"/>
    <x:col min="6" max="6" width="52" hidden="0" customWidth="1"/>
    <x:col min="7" max="7" width="48" hidden="0" customWidth="1"/>
    <x:col min="8" max="8" width="52" hidden="0" customWidth="1"/>
    <x:col min="9" max="9" width="28" hidden="0" customWidth="1"/>
    <x:col min="10" max="10" width="26" hidden="0" customWidth="1"/>
    <x:col min="11" max="11" width="10" hidden="0" customWidth="1"/>
    <x:col min="12" max="12" width="20" hidden="0" customWidth="1"/>
    <x:col min="13" max="13" width="16" hidden="0" customWidth="1"/>
    <x:col min="14" max="14" width="34" hidden="0" customWidth="1"/>
  </x:cols>
  <x:sheetData>
    <x:row r="1" ht="30" customHeight="1">
      <x:c r="A1" s="3" t="str">
        <x:v>分納・欠品シナリオ</x:v>
      </x:c>
      <x:c r="B1" s="3"/>
      <x:c r="C1" s="3"/>
      <x:c r="D1" s="3"/>
      <x:c r="E1" s="3"/>
      <x:c r="F1" s="3"/>
      <x:c r="G1" s="3"/>
      <x:c r="H1" s="3"/>
      <x:c r="I1" s="3"/>
      <x:c r="J1" s="3"/>
      <x:c r="K1" s="3"/>
      <x:c r="L1" s="3"/>
      <x:c r="M1" s="3"/>
      <x:c r="N1" s="3"/>
    </x:row>
    <x:row r="2" ht="42" customHeight="1">
      <x:c r="A2" s="7" t="str">
        <x:v>K列に結果を記録し、L/M/N列に実データ・証跡を残す。JX受信済みのローカルデータを前提に、必要な行だけ実施してよい。</x:v>
      </x:c>
      <x:c r="B2" s="7"/>
      <x:c r="C2" s="7"/>
      <x:c r="D2" s="7"/>
      <x:c r="E2" s="7"/>
      <x:c r="F2" s="7"/>
      <x:c r="G2" s="7"/>
      <x:c r="H2" s="7"/>
      <x:c r="I2" s="7"/>
      <x:c r="J2" s="7"/>
      <x:c r="K2" s="7"/>
      <x:c r="L2" s="7"/>
      <x:c r="M2" s="7"/>
      <x:c r="N2" s="7"/>
    </x:row>
    <x:row r="4" ht="24" customHeight="1">
      <x:c r="A4" s="9" t="str">
        <x:v>ステータス: 未実施 / OK / NG / 保留 / 対象外</x:v>
      </x:c>
      <x:c r="B4" s="9"/>
      <x:c r="C4" s="9"/>
      <x:c r="D4" s="9"/>
      <x:c r="E4" s="9"/>
      <x:c r="F4" s="9"/>
      <x:c r="G4" s="9"/>
      <x:c r="H4" s="9"/>
      <x:c r="I4" s="9"/>
      <x:c r="J4" s="9"/>
      <x:c r="K4" s="9"/>
      <x:c r="L4" s="9"/>
      <x:c r="M4" s="9"/>
      <x:c r="N4" s="9"/>
    </x:row>
    <x:row r="5" ht="34" customHeight="1">
      <x:c r="A5" s="19" t="str">
        <x:v>No</x:v>
      </x:c>
      <x:c r="B5" s="19" t="str">
        <x:v>優先度</x:v>
      </x:c>
      <x:c r="C5" s="19" t="str">
        <x:v>テスト観点</x:v>
      </x:c>
      <x:c r="D5" s="19" t="str">
        <x:v>ケース</x:v>
      </x:c>
      <x:c r="E5" s="19" t="str">
        <x:v>事前条件/対象データ</x:v>
      </x:c>
      <x:c r="F5" s="19" t="str">
        <x:v>操作</x:v>
      </x:c>
      <x:c r="G5" s="19" t="str">
        <x:v>期待結果(UI)</x:v>
      </x:c>
      <x:c r="H5" s="19" t="str">
        <x:v>期待結果(DB)</x:v>
      </x:c>
      <x:c r="I5" s="19" t="str">
        <x:v>確認画面/SQL</x:v>
      </x:c>
      <x:c r="J5" s="19" t="str">
        <x:v>入力する実データ</x:v>
      </x:c>
      <x:c r="K5" s="19" t="str">
        <x:v>結果</x:v>
      </x:c>
      <x:c r="L5" s="19" t="str">
        <x:v>JXログID/伝票</x:v>
      </x:c>
      <x:c r="M5" s="19" t="str">
        <x:v>仕入キューID</x:v>
      </x:c>
      <x:c r="N5" s="19" t="str">
        <x:v>メモ</x:v>
      </x:c>
    </x:row>
    <x:row r="6" ht="70" customHeight="1">
      <x:c r="A6" s="20" t="str">
        <x:v>DP-001</x:v>
      </x:c>
      <x:c r="B6" s="20" t="str">
        <x:v>P0</x:v>
      </x:c>
      <x:c r="C6" s="21" t="str">
        <x:v>EOS分納</x:v>
      </x:c>
      <x:c r="D6" s="21" t="str">
        <x:v>1回目納品が予定数量未満の場合、確定データは欠品付きで作成される</x:v>
      </x:c>
      <x:c r="E6" s="21" t="str">
        <x:v>予定10、受信6など不足が明確なEOS明細。</x:v>
      </x:c>
      <x:c r="F6" s="21" t="str">
        <x:v>取り込み後、入荷完了を確認する。</x:v>
      </x:c>
      <x:c r="G6" s="21" t="str">
        <x:v>入荷完了に実績6、欠品4として表示。</x:v>
      </x:c>
      <x:c r="H6" s="21" t="str">
        <x:v>status=CONFIRMED、received_quantity=6、shortage_quantity=4。</x:v>
      </x:c>
      <x:c r="I6" s="21" t="str">
        <x:v>SQL-03</x:v>
      </x:c>
      <x:c r="J6" s="21" t="str">
        <x:v>予定/受信数量</x:v>
      </x:c>
      <x:c r="K6" s="20" t="str">
        <x:v>未実施</x:v>
      </x:c>
      <x:c r="L6" s="20" t="str"/>
      <x:c r="M6" s="20" t="str"/>
      <x:c r="N6" s="21" t="str"/>
    </x:row>
    <x:row r="7" ht="70" customHeight="1">
      <x:c r="A7" s="20" t="str">
        <x:v>DP-002</x:v>
      </x:c>
      <x:c r="B7" s="20" t="str">
        <x:v>P0</x:v>
      </x:c>
      <x:c r="C7" s="21" t="str">
        <x:v>EOS追加入荷</x:v>
      </x:c>
      <x:c r="D7" s="21" t="str">
        <x:v>既に欠品付き確定済みの伝票へ後続納品が来た場合、別のRECEIVED入荷予定を作る</x:v>
      </x:c>
      <x:c r="E7" s="21" t="str">
        <x:v>同じ送信割当候補が既にCONFIRMEDでshortage_quantity&gt;0。後続受信あり。</x:v>
      </x:c>
      <x:c r="F7" s="21" t="str">
        <x:v>後続のJXログを取り込む。</x:v>
      </x:c>
      <x:c r="G7" s="21" t="str">
        <x:v>追加入荷分が新しい受信由来予定として確認できる。</x:v>
      </x:c>
      <x:c r="H7" s="21" t="str">
        <x:v>元scheduleは変更されず、新schedule.order_source=RECEIVED、slip_numberは先方伝票番号、expected/received/shortageが後続分で保存。</x:v>
      </x:c>
      <x:c r="I7" s="21" t="str">
        <x:v>SQL-03</x:v>
      </x:c>
      <x:c r="J7" s="21" t="str">
        <x:v>元schedule_id、後続伝票番号</x:v>
      </x:c>
      <x:c r="K7" s="20" t="str">
        <x:v>未実施</x:v>
      </x:c>
      <x:c r="L7" s="20" t="str"/>
      <x:c r="M7" s="20" t="str"/>
      <x:c r="N7" s="21" t="str"/>
    </x:row>
    <x:row r="8" ht="70" customHeight="1">
      <x:c r="A8" s="20" t="str">
        <x:v>DP-003</x:v>
      </x:c>
      <x:c r="B8" s="20" t="str">
        <x:v>P1</x:v>
      </x:c>
      <x:c r="C8" s="21" t="str">
        <x:v>混在伝票</x:v>
      </x:c>
      <x:c r="D8" s="21" t="str">
        <x:v>同一伝票に確定済み行と未確定行が混在する場合、確定済み行だけ別予定にする</x:v>
      </x:c>
      <x:c r="E8" s="21" t="str">
        <x:v>同一slip_numberに、既にCONFIRMEDの候補とPENDINGの候補が混在。</x:v>
      </x:c>
      <x:c r="F8" s="21" t="str">
        <x:v>対象ログを取り込む。</x:v>
      </x:c>
      <x:c r="G8" s="21" t="str">
        <x:v>未確定行は既存予定へ、確定済み行は別RECEIVED予定へ紐づく。</x:v>
      </x:c>
      <x:c r="H8" s="21" t="str">
        <x:v>closed line matched_schedule_id は新規schedule、pending line matched_schedule_id は既存schedule。</x:v>
      </x:c>
      <x:c r="I8" s="21" t="str">
        <x:v>SQL-02, SQL-03</x:v>
      </x:c>
      <x:c r="J8" s="21" t="str">
        <x:v>行番号ごとの商品</x:v>
      </x:c>
      <x:c r="K8" s="20" t="str">
        <x:v>未実施</x:v>
      </x:c>
      <x:c r="L8" s="20" t="str"/>
      <x:c r="M8" s="20" t="str"/>
      <x:c r="N8" s="21" t="str"/>
    </x:row>
    <x:row r="9" ht="70" customHeight="1">
      <x:c r="A9" s="20" t="str">
        <x:v>DP-004</x:v>
      </x:c>
      <x:c r="B9" s="20" t="str">
        <x:v>P1</x:v>
      </x:c>
      <x:c r="C9" s="21" t="str">
        <x:v>再実行</x:v>
      </x:c>
      <x:c r="D9" s="21" t="str">
        <x:v>追加入荷用に作られたPENDING予定は再照合時に再利用される</x:v>
      </x:c>
      <x:c r="E9" s="21" t="str">
        <x:v>DP-002の処理後、同じ受信ファイルをPENDING状態で再照合できる状態。</x:v>
      </x:c>
      <x:c r="F9" s="21" t="str">
        <x:v>再度match/apply相当を実行する。</x:v>
      </x:c>
      <x:c r="G9" s="21" t="str">
        <x:v>新規予定がさらに重複作成されない。</x:v>
      </x:c>
      <x:c r="H9" s="21" t="str">
        <x:v>同一slip_number/contractor/itemのPENDING予定が1件のまま。</x:v>
      </x:c>
      <x:c r="I9" s="21" t="str">
        <x:v>SQL-03, SQL-10</x:v>
      </x:c>
      <x:c r="J9" s="21" t="str">
        <x:v>追加入荷schedule_id</x:v>
      </x:c>
      <x:c r="K9" s="20" t="str">
        <x:v>未実施</x:v>
      </x:c>
      <x:c r="L9" s="20" t="str"/>
      <x:c r="M9" s="20" t="str"/>
      <x:c r="N9" s="21" t="str"/>
    </x:row>
    <x:row r="10" ht="70" customHeight="1">
      <x:c r="A10" s="20" t="str">
        <x:v>DP-005</x:v>
      </x:c>
      <x:c r="B10" s="20" t="str">
        <x:v>P0</x:v>
      </x:c>
      <x:c r="C10" s="21" t="str">
        <x:v>手動分納</x:v>
      </x:c>
      <x:c r="D10" s="21" t="str">
        <x:v>EOSではない手動予定を一部入荷にすると、仕入連携用の確定行と残予定に分かれる</x:v>
      </x:c>
      <x:c r="E10" s="21" t="str">
        <x:v>isEosSent=false、order_source=AUTO/MANUAL/RECEIVED、purchase_queue_id null。</x:v>
      </x:c>
      <x:c r="F10" s="21" t="str">
        <x:v>一部入荷操作で予定10に対して4などを入力する。</x:v>
      </x:c>
      <x:c r="G10" s="21" t="str">
        <x:v>入荷完了に4の確定行、入荷予定に残6の未確定行が残る。</x:v>
      </x:c>
      <x:c r="H10" s="21" t="str">
        <x:v>新schedule.status=CONFIRMED/expected=4/received=4、元schedule.status=PENDING/expected=6/received=0。</x:v>
      </x:c>
      <x:c r="I10" s="21" t="str">
        <x:v>SQL-03</x:v>
      </x:c>
      <x:c r="J10" s="21" t="str">
        <x:v>元schedule_id、入力数量</x:v>
      </x:c>
      <x:c r="K10" s="20" t="str">
        <x:v>未実施</x:v>
      </x:c>
      <x:c r="L10" s="20" t="str"/>
      <x:c r="M10" s="20" t="str"/>
      <x:c r="N10" s="21" t="str"/>
    </x:row>
    <x:row r="11" ht="70" customHeight="1">
      <x:c r="A11" s="20" t="str">
        <x:v>DP-006</x:v>
      </x:c>
      <x:c r="B11" s="20" t="str">
        <x:v>P1</x:v>
      </x:c>
      <x:c r="C11" s="21" t="str">
        <x:v>手動欠品確定</x:v>
      </x:c>
      <x:c r="D11" s="21" t="str">
        <x:v>数量修正して欠品として締める場合は入力値で確定される</x:v>
      </x:c>
      <x:c r="E11" s="21" t="str">
        <x:v>手動確定モーダルで予定数量より少ない数量を入れる。</x:v>
      </x:c>
      <x:c r="F11" s="21" t="str">
        <x:v>入荷確定を実行する。</x:v>
      </x:c>
      <x:c r="G11" s="21" t="str">
        <x:v>入荷完了に不足数付きで表示される。</x:v>
      </x:c>
      <x:c r="H11" s="21" t="str">
        <x:v>received_quantity=入力値、shortage_quantity=予定-入力値、status=CONFIRMED。</x:v>
      </x:c>
      <x:c r="I11" s="21" t="str">
        <x:v>SQL-03</x:v>
      </x:c>
      <x:c r="J11" s="21" t="str">
        <x:v>入力数量</x:v>
      </x:c>
      <x:c r="K11" s="20" t="str">
        <x:v>未実施</x:v>
      </x:c>
      <x:c r="L11" s="20" t="str"/>
      <x:c r="M11" s="20" t="str"/>
      <x:c r="N11" s="21" t="str"/>
    </x:row>
    <x:row r="12" ht="70" customHeight="1">
      <x:c r="A12" s="20" t="str">
        <x:v>DP-007</x:v>
      </x:c>
      <x:c r="B12" s="20" t="str">
        <x:v>P0</x:v>
      </x:c>
      <x:c r="C12" s="21" t="str">
        <x:v>全欠品</x:v>
      </x:c>
      <x:c r="D12" s="21" t="str">
        <x:v>受信数量0の欠品行は実績0で確定される</x:v>
      </x:c>
      <x:c r="E12" s="21" t="str">
        <x:v>Dレコード case=0 piece=0。</x:v>
      </x:c>
      <x:c r="F12" s="21" t="str">
        <x:v>取り込みを実行する。</x:v>
      </x:c>
      <x:c r="G12" s="21" t="str">
        <x:v>入荷完了に実績0/欠品ありで表示。</x:v>
      </x:c>
      <x:c r="H12" s="21" t="str">
        <x:v>received_quantity=0、shipped_quantity=0、shortage_quantity=expected_quantity。</x:v>
      </x:c>
      <x:c r="I12" s="21" t="str">
        <x:v>SQL-02, SQL-03</x:v>
      </x:c>
      <x:c r="J12" s="21" t="str">
        <x:v>欠品伝票番号</x:v>
      </x:c>
      <x:c r="K12" s="20" t="str">
        <x:v>未実施</x:v>
      </x:c>
      <x:c r="L12" s="20" t="str"/>
      <x:c r="M12" s="20" t="str"/>
      <x:c r="N12" s="21" t="str"/>
    </x:row>
    <x:row r="13" ht="70" customHeight="1">
      <x:c r="A13" s="20" t="str">
        <x:v>DP-008</x:v>
      </x:c>
      <x:c r="B13" s="20" t="str">
        <x:v>P1</x:v>
      </x:c>
      <x:c r="C13" s="21" t="str">
        <x:v>91番倉庫分納</x:v>
      </x:c>
      <x:c r="D13" s="21" t="str">
        <x:v>91番倉庫の分納も入荷確定までは行い、仕入連携は手動に残す</x:v>
      </x:c>
      <x:c r="E13" s="21" t="str">
        <x:v>倉庫CD91、分納または欠品付きのEOS受信。</x:v>
      </x:c>
      <x:c r="F13" s="21" t="str">
        <x:v>自動実行または取り込みを実行する。</x:v>
      </x:c>
      <x:c r="G13" s="21" t="str">
        <x:v>入荷完了に表示され、仕入キュー未作成。</x:v>
      </x:c>
      <x:c r="H13" s="21" t="str">
        <x:v>purchase_queue_id is null、run.purchase_skipped_warehouse91_countが対象数分増える。</x:v>
      </x:c>
      <x:c r="I13" s="21" t="str">
        <x:v>SQL-03, SQL-08</x:v>
      </x:c>
      <x:c r="J13" s="21" t="str">
        <x:v>91番伝票</x:v>
      </x:c>
      <x:c r="K13" s="20" t="str">
        <x:v>未実施</x:v>
      </x:c>
      <x:c r="L13" s="20" t="str"/>
      <x:c r="M13" s="20" t="str"/>
      <x:c r="N13" s="21" t="str"/>
    </x:row>
    <x:row r="14" ht="70" customHeight="1">
      <x:c r="A14" s="20" t="str">
        <x:v>DP-009</x:v>
      </x:c>
      <x:c r="B14" s="20" t="str">
        <x:v>P0</x:v>
      </x:c>
      <x:c r="C14" s="21" t="str">
        <x:v>仕入伝票分割</x:v>
      </x:c>
      <x:c r="D14" s="21" t="str">
        <x:v>同じ伝票番号の分納は入荷日ごとに複数の仕入伝票を生成できる</x:v>
      </x:c>
      <x:c r="E14" s="21" t="str">
        <x:v>同一slip_numberでactual_arrival_dateが2日ある。</x:v>
      </x:c>
      <x:c r="F14" s="21" t="str">
        <x:v>入荷完了画面から仕入送信する。</x:v>
      </x:c>
      <x:c r="G14" s="21" t="str">
        <x:v>同じ伝票番号で複数キューができる。</x:v>
      </x:c>
      <x:c r="H14" s="21" t="str">
        <x:v>purchase_create_queue.slip_numberは同じ、delivered_dateが異なる。</x:v>
      </x:c>
      <x:c r="I14" s="21" t="str">
        <x:v>SQL-07</x:v>
      </x:c>
      <x:c r="J14" s="21" t="str">
        <x:v>伝票番号、入荷日</x:v>
      </x:c>
      <x:c r="K14" s="20" t="str">
        <x:v>未実施</x:v>
      </x:c>
      <x:c r="L14" s="20" t="str"/>
      <x:c r="M14" s="20" t="str"/>
      <x:c r="N14" s="21" t="str"/>
    </x:row>
    <x:row r="15" ht="70" customHeight="1">
      <x:c r="A15" s="20" t="str">
        <x:v>DP-010</x:v>
      </x:c>
      <x:c r="B15" s="20" t="str">
        <x:v>P1</x:v>
      </x:c>
      <x:c r="C15" s="21" t="str">
        <x:v>ユーザ運用</x:v>
      </x:c>
      <x:c r="D15" s="21" t="str">
        <x:v>手動で一部欠品として締めた後の追加入荷はユーザ作成の新規入荷予定で処理する</x:v>
      </x:c>
      <x:c r="E15" s="21" t="str">
        <x:v>手動確定済みで欠品が残ったデータ。</x:v>
      </x:c>
      <x:c r="F15" s="21" t="str">
        <x:v>ユーザが新規入荷予定を作成し、追加入荷分を確定する。</x:v>
      </x:c>
      <x:c r="G15" s="21" t="str">
        <x:v>元確定データは変えず、新規予定から入荷完了が作られる。</x:v>
      </x:c>
      <x:c r="H15" s="21" t="str">
        <x:v>元scheduleは変更なし。新scheduleのslip_number/quantityが追加入荷分。</x:v>
      </x:c>
      <x:c r="I15" s="21" t="str">
        <x:v>SQL-03</x:v>
      </x:c>
      <x:c r="J15" s="21" t="str">
        <x:v>元/新schedule_id</x:v>
      </x:c>
      <x:c r="K15" s="20" t="str">
        <x:v>未実施</x:v>
      </x:c>
      <x:c r="L15" s="20" t="str"/>
      <x:c r="M15" s="20" t="str"/>
      <x:c r="N15" s="21" t="str"/>
    </x:row>
    <x:row r="16" ht="70" customHeight="1">
      <x:c r="A16" s="20" t="str">
        <x:v>DP-011</x:v>
      </x:c>
      <x:c r="B16" s="20" t="str">
        <x:v>P1</x:v>
      </x:c>
      <x:c r="C16" s="21" t="str">
        <x:v>未割当FAX</x:v>
      </x:c>
      <x:c r="D16" s="21" t="str">
        <x:v>伝票番号不明またはFAX由来と思われる受信データは履歴表示のみ</x:v>
      </x:c>
      <x:c r="E16" s="21" t="str">
        <x:v>送信割当がない受信伝票。</x:v>
      </x:c>
      <x:c r="F16" s="21" t="str">
        <x:v>取り込みを実行する。</x:v>
      </x:c>
      <x:c r="G16" s="21" t="str">
        <x:v>JX未割当受信伝票一覧で確認できる。自動確定/仕入連携されない。</x:v>
      </x:c>
      <x:c r="H16" s="21" t="str">
        <x:v>slip.match_status=NO_ASSIGNMENT、scheduleは作成されない。</x:v>
      </x:c>
      <x:c r="I16" s="21" t="str">
        <x:v>SQL-09</x:v>
      </x:c>
      <x:c r="J16" s="21" t="str">
        <x:v>伝票番号</x:v>
      </x:c>
      <x:c r="K16" s="20" t="str">
        <x:v>未実施</x:v>
      </x:c>
      <x:c r="L16" s="20" t="str"/>
      <x:c r="M16" s="20" t="str"/>
      <x:c r="N16" s="21" t="str"/>
    </x:row>
    <x:row r="17" ht="70" customHeight="1">
      <x:c r="A17" s="20" t="str">
        <x:v>DP-012</x:v>
      </x:c>
      <x:c r="B17" s="20" t="str">
        <x:v>P1</x:v>
      </x:c>
      <x:c r="C17" s="21" t="str">
        <x:v>修正</x:v>
      </x:c>
      <x:c r="D17" s="21" t="str">
        <x:v>仕入連携前なら分納確定データの数量・伝票番号を修正できる</x:v>
      </x:c>
      <x:c r="E17" s="21" t="str">
        <x:v>purchase_queue_id nullの分納確定データ。</x:v>
      </x:c>
      <x:c r="F17" s="21" t="str">
        <x:v>入荷完了画面で修正する。</x:v>
      </x:c>
      <x:c r="G17" s="21" t="str">
        <x:v>修正後の数量で欠品数が再計算される。</x:v>
      </x:c>
      <x:c r="H17" s="21" t="str">
        <x:v>received_quantity/shipped_quantity/shortage_quantity/slip_numberが更新される。</x:v>
      </x:c>
      <x:c r="I17" s="21" t="str">
        <x:v>SQL-03</x:v>
      </x:c>
      <x:c r="J17" s="21" t="str">
        <x:v>修正前後値</x:v>
      </x:c>
      <x:c r="K17" s="20" t="str">
        <x:v>未実施</x:v>
      </x:c>
      <x:c r="L17" s="20" t="str"/>
      <x:c r="M17" s="20" t="str"/>
      <x:c r="N17" s="21" t="str"/>
    </x:row>
    <x:row r="18">
      <x:c r="K18" s="18"/>
      <x:c r="L18" s="18"/>
      <x:c r="M18" s="18"/>
    </x:row>
    <x:row r="19">
      <x:c r="K19" s="18"/>
      <x:c r="L19" s="18"/>
      <x:c r="M19" s="18"/>
    </x:row>
    <x:row r="20">
      <x:c r="K20" s="18"/>
      <x:c r="L20" s="18"/>
      <x:c r="M20" s="18"/>
    </x:row>
    <x:row r="21">
      <x:c r="K21" s="18"/>
      <x:c r="L21" s="18"/>
      <x:c r="M21" s="18"/>
    </x:row>
    <x:row r="22">
      <x:c r="K22" s="18"/>
      <x:c r="L22" s="18"/>
      <x:c r="M22" s="18"/>
    </x:row>
    <x:row r="23">
      <x:c r="K23" s="18"/>
      <x:c r="L23" s="18"/>
      <x:c r="M23" s="18"/>
    </x:row>
    <x:row r="24">
      <x:c r="K24" s="18"/>
      <x:c r="L24" s="18"/>
      <x:c r="M24" s="18"/>
    </x:row>
    <x:row r="25">
      <x:c r="K25" s="18"/>
      <x:c r="L25" s="18"/>
      <x:c r="M25" s="18"/>
    </x:row>
    <x:row r="26">
      <x:c r="K26" s="18"/>
      <x:c r="L26" s="18"/>
      <x:c r="M26" s="18"/>
    </x:row>
    <x:row r="27">
      <x:c r="K27" s="18"/>
      <x:c r="L27" s="18"/>
      <x:c r="M27" s="18"/>
    </x:row>
    <x:row r="28">
      <x:c r="K28" s="18"/>
      <x:c r="L28" s="18"/>
      <x:c r="M28" s="18"/>
    </x:row>
    <x:row r="29">
      <x:c r="K29" s="18"/>
      <x:c r="L29" s="18"/>
      <x:c r="M29" s="18"/>
    </x:row>
    <x:row r="30">
      <x:c r="K30" s="18"/>
      <x:c r="L30" s="18"/>
      <x:c r="M30" s="18"/>
    </x:row>
    <x:row r="31">
      <x:c r="K31" s="18"/>
      <x:c r="L31" s="18"/>
      <x:c r="M31" s="18"/>
    </x:row>
    <x:row r="32">
      <x:c r="K32" s="18"/>
      <x:c r="L32" s="18"/>
      <x:c r="M32" s="18"/>
    </x:row>
    <x:row r="33">
      <x:c r="K33" s="18"/>
      <x:c r="L33" s="18"/>
      <x:c r="M33" s="18"/>
    </x:row>
    <x:row r="34">
      <x:c r="K34" s="18"/>
      <x:c r="L34" s="18"/>
      <x:c r="M34" s="18"/>
    </x:row>
    <x:row r="35">
      <x:c r="K35" s="18"/>
      <x:c r="L35" s="18"/>
      <x:c r="M35" s="18"/>
    </x:row>
    <x:row r="36">
      <x:c r="K36" s="18"/>
      <x:c r="L36" s="18"/>
      <x:c r="M36" s="18"/>
    </x:row>
    <x:row r="37">
      <x:c r="K37" s="18"/>
      <x:c r="L37" s="18"/>
      <x:c r="M37" s="18"/>
    </x:row>
    <x:row r="38">
      <x:c r="K38" s="18"/>
      <x:c r="L38" s="18"/>
      <x:c r="M38" s="18"/>
    </x:row>
    <x:row r="39">
      <x:c r="K39" s="18"/>
      <x:c r="L39" s="18"/>
      <x:c r="M39" s="18"/>
    </x:row>
    <x:row r="40">
      <x:c r="K40" s="18"/>
      <x:c r="L40" s="18"/>
      <x:c r="M40" s="18"/>
    </x:row>
    <x:row r="41">
      <x:c r="K41" s="18"/>
      <x:c r="L41" s="18"/>
      <x:c r="M41" s="18"/>
    </x:row>
    <x:row r="42">
      <x:c r="K42" s="18"/>
      <x:c r="L42" s="18"/>
      <x:c r="M42" s="18"/>
    </x:row>
    <x:row r="43">
      <x:c r="K43" s="18"/>
      <x:c r="L43" s="18"/>
      <x:c r="M43" s="18"/>
    </x:row>
    <x:row r="44">
      <x:c r="K44" s="18"/>
      <x:c r="L44" s="18"/>
      <x:c r="M44" s="18"/>
    </x:row>
    <x:row r="45">
      <x:c r="K45" s="18"/>
      <x:c r="L45" s="18"/>
      <x:c r="M45" s="18"/>
    </x:row>
    <x:row r="46">
      <x:c r="K46" s="18"/>
      <x:c r="L46" s="18"/>
      <x:c r="M46" s="18"/>
    </x:row>
    <x:row r="47">
      <x:c r="K47" s="18"/>
      <x:c r="L47" s="18"/>
      <x:c r="M47" s="18"/>
    </x:row>
    <x:row r="48">
      <x:c r="K48" s="18"/>
      <x:c r="L48" s="18"/>
      <x:c r="M48" s="18"/>
    </x:row>
    <x:row r="49">
      <x:c r="K49" s="18"/>
      <x:c r="L49" s="18"/>
      <x:c r="M49" s="18"/>
    </x:row>
    <x:row r="50">
      <x:c r="K50" s="18"/>
      <x:c r="L50" s="18"/>
      <x:c r="M50" s="18"/>
    </x:row>
    <x:row r="51">
      <x:c r="K51" s="18"/>
      <x:c r="L51" s="18"/>
      <x:c r="M51" s="18"/>
    </x:row>
    <x:row r="52">
      <x:c r="K52" s="18"/>
      <x:c r="L52" s="18"/>
      <x:c r="M52" s="18"/>
    </x:row>
    <x:row r="53">
      <x:c r="K53" s="18"/>
      <x:c r="L53" s="18"/>
      <x:c r="M53" s="18"/>
    </x:row>
    <x:row r="54">
      <x:c r="K54" s="18"/>
      <x:c r="L54" s="18"/>
      <x:c r="M54" s="18"/>
    </x:row>
    <x:row r="55">
      <x:c r="K55" s="18"/>
      <x:c r="L55" s="18"/>
      <x:c r="M55" s="18"/>
    </x:row>
    <x:row r="56">
      <x:c r="K56" s="18"/>
      <x:c r="L56" s="18"/>
      <x:c r="M56" s="18"/>
    </x:row>
    <x:row r="57">
      <x:c r="K57" s="18"/>
      <x:c r="L57" s="18"/>
      <x:c r="M57" s="18"/>
    </x:row>
    <x:row r="58">
      <x:c r="K58" s="18"/>
      <x:c r="L58" s="18"/>
      <x:c r="M58" s="18"/>
    </x:row>
    <x:row r="59">
      <x:c r="K59" s="18"/>
      <x:c r="L59" s="18"/>
      <x:c r="M59" s="18"/>
    </x:row>
    <x:row r="60">
      <x:c r="K60" s="18"/>
      <x:c r="L60" s="18"/>
      <x:c r="M60" s="18"/>
    </x:row>
    <x:row r="61">
      <x:c r="K61" s="18"/>
      <x:c r="L61" s="18"/>
      <x:c r="M61" s="18"/>
    </x:row>
    <x:row r="62">
      <x:c r="K62" s="18"/>
      <x:c r="L62" s="18"/>
      <x:c r="M62" s="18"/>
    </x:row>
    <x:row r="63">
      <x:c r="K63" s="18"/>
      <x:c r="L63" s="18"/>
      <x:c r="M63" s="18"/>
    </x:row>
    <x:row r="64">
      <x:c r="K64" s="18"/>
      <x:c r="L64" s="18"/>
      <x:c r="M64" s="18"/>
    </x:row>
    <x:row r="65">
      <x:c r="K65" s="18"/>
      <x:c r="L65" s="18"/>
      <x:c r="M65" s="18"/>
    </x:row>
    <x:row r="66">
      <x:c r="K66" s="18"/>
      <x:c r="L66" s="18"/>
      <x:c r="M66" s="18"/>
    </x:row>
    <x:row r="67">
      <x:c r="K67" s="18"/>
      <x:c r="L67" s="18"/>
      <x:c r="M67" s="18"/>
    </x:row>
    <x:row r="68">
      <x:c r="K68" s="18"/>
      <x:c r="L68" s="18"/>
      <x:c r="M68" s="18"/>
    </x:row>
    <x:row r="69">
      <x:c r="K69" s="18"/>
      <x:c r="L69" s="18"/>
      <x:c r="M69" s="18"/>
    </x:row>
    <x:row r="70">
      <x:c r="K70" s="18"/>
      <x:c r="L70" s="18"/>
      <x:c r="M70" s="18"/>
    </x:row>
    <x:row r="71">
      <x:c r="K71" s="18"/>
      <x:c r="L71" s="18"/>
      <x:c r="M71" s="18"/>
    </x:row>
    <x:row r="72">
      <x:c r="K72" s="18"/>
      <x:c r="L72" s="18"/>
      <x:c r="M72" s="18"/>
    </x:row>
    <x:row r="73">
      <x:c r="K73" s="18"/>
      <x:c r="L73" s="18"/>
      <x:c r="M73" s="18"/>
    </x:row>
    <x:row r="74">
      <x:c r="K74" s="18"/>
      <x:c r="L74" s="18"/>
      <x:c r="M74" s="18"/>
    </x:row>
    <x:row r="75">
      <x:c r="K75" s="18"/>
      <x:c r="L75" s="18"/>
      <x:c r="M75" s="18"/>
    </x:row>
    <x:row r="76">
      <x:c r="K76" s="18"/>
      <x:c r="L76" s="18"/>
      <x:c r="M76" s="18"/>
    </x:row>
    <x:row r="77">
      <x:c r="K77" s="18"/>
      <x:c r="L77" s="18"/>
      <x:c r="M77" s="18"/>
    </x:row>
    <x:row r="78">
      <x:c r="K78" s="18"/>
      <x:c r="L78" s="18"/>
      <x:c r="M78" s="18"/>
    </x:row>
    <x:row r="79">
      <x:c r="K79" s="18"/>
      <x:c r="L79" s="18"/>
      <x:c r="M79" s="18"/>
    </x:row>
    <x:row r="80">
      <x:c r="K80" s="18"/>
      <x:c r="L80" s="18"/>
      <x:c r="M80" s="18"/>
    </x:row>
    <x:row r="81">
      <x:c r="K81" s="18"/>
      <x:c r="L81" s="18"/>
      <x:c r="M81" s="18"/>
    </x:row>
    <x:row r="82">
      <x:c r="K82" s="18"/>
      <x:c r="L82" s="18"/>
      <x:c r="M82" s="18"/>
    </x:row>
    <x:row r="83">
      <x:c r="K83" s="18"/>
      <x:c r="L83" s="18"/>
      <x:c r="M83" s="18"/>
    </x:row>
    <x:row r="84">
      <x:c r="K84" s="18"/>
      <x:c r="L84" s="18"/>
      <x:c r="M84" s="18"/>
    </x:row>
    <x:row r="85">
      <x:c r="K85" s="18"/>
      <x:c r="L85" s="18"/>
      <x:c r="M85" s="18"/>
    </x:row>
    <x:row r="86">
      <x:c r="K86" s="18"/>
      <x:c r="L86" s="18"/>
      <x:c r="M86" s="18"/>
    </x:row>
    <x:row r="87">
      <x:c r="K87" s="18"/>
      <x:c r="L87" s="18"/>
      <x:c r="M87" s="18"/>
    </x:row>
    <x:row r="88">
      <x:c r="K88" s="18"/>
      <x:c r="L88" s="18"/>
      <x:c r="M88" s="18"/>
    </x:row>
    <x:row r="89">
      <x:c r="K89" s="18"/>
      <x:c r="L89" s="18"/>
      <x:c r="M89" s="18"/>
    </x:row>
    <x:row r="90">
      <x:c r="K90" s="18"/>
      <x:c r="L90" s="18"/>
      <x:c r="M90" s="18"/>
    </x:row>
    <x:row r="91">
      <x:c r="K91" s="18"/>
      <x:c r="L91" s="18"/>
      <x:c r="M91" s="18"/>
    </x:row>
    <x:row r="92">
      <x:c r="K92" s="18"/>
      <x:c r="L92" s="18"/>
      <x:c r="M92" s="18"/>
    </x:row>
    <x:row r="93">
      <x:c r="K93" s="18"/>
      <x:c r="L93" s="18"/>
      <x:c r="M93" s="18"/>
    </x:row>
    <x:row r="94">
      <x:c r="K94" s="18"/>
      <x:c r="L94" s="18"/>
      <x:c r="M94" s="18"/>
    </x:row>
    <x:row r="95">
      <x:c r="K95" s="18"/>
      <x:c r="L95" s="18"/>
      <x:c r="M95" s="18"/>
    </x:row>
    <x:row r="96">
      <x:c r="K96" s="18"/>
      <x:c r="L96" s="18"/>
      <x:c r="M96" s="18"/>
    </x:row>
    <x:row r="97">
      <x:c r="K97" s="18"/>
      <x:c r="L97" s="18"/>
      <x:c r="M97" s="18"/>
    </x:row>
    <x:row r="98">
      <x:c r="K98" s="18"/>
      <x:c r="L98" s="18"/>
      <x:c r="M98" s="18"/>
    </x:row>
    <x:row r="99">
      <x:c r="K99" s="18"/>
      <x:c r="L99" s="18"/>
      <x:c r="M99" s="18"/>
    </x:row>
    <x:row r="100">
      <x:c r="K100" s="18"/>
      <x:c r="L100" s="18"/>
      <x:c r="M100" s="18"/>
    </x:row>
    <x:row r="101">
      <x:c r="K101" s="18"/>
      <x:c r="L101" s="18"/>
      <x:c r="M101" s="18"/>
    </x:row>
    <x:row r="102">
      <x:c r="K102" s="18"/>
      <x:c r="L102" s="18"/>
      <x:c r="M102" s="18"/>
    </x:row>
    <x:row r="103">
      <x:c r="K103" s="18"/>
      <x:c r="L103" s="18"/>
      <x:c r="M103" s="18"/>
    </x:row>
    <x:row r="104">
      <x:c r="K104" s="18"/>
      <x:c r="L104" s="18"/>
      <x:c r="M104" s="18"/>
    </x:row>
    <x:row r="105">
      <x:c r="K105" s="18"/>
      <x:c r="L105" s="18"/>
      <x:c r="M105" s="18"/>
    </x:row>
    <x:row r="106">
      <x:c r="K106" s="18"/>
      <x:c r="L106" s="18"/>
      <x:c r="M106" s="18"/>
    </x:row>
    <x:row r="107">
      <x:c r="K107" s="18"/>
      <x:c r="L107" s="18"/>
      <x:c r="M107" s="18"/>
    </x:row>
    <x:row r="108">
      <x:c r="K108" s="18"/>
      <x:c r="L108" s="18"/>
      <x:c r="M108" s="18"/>
    </x:row>
    <x:row r="109">
      <x:c r="K109" s="18"/>
      <x:c r="L109" s="18"/>
      <x:c r="M109" s="18"/>
    </x:row>
    <x:row r="110">
      <x:c r="K110" s="18"/>
      <x:c r="L110" s="18"/>
      <x:c r="M110" s="18"/>
    </x:row>
    <x:row r="111">
      <x:c r="K111" s="18"/>
      <x:c r="L111" s="18"/>
      <x:c r="M111" s="18"/>
    </x:row>
    <x:row r="112">
      <x:c r="K112" s="18"/>
      <x:c r="L112" s="18"/>
      <x:c r="M112" s="18"/>
    </x:row>
    <x:row r="113">
      <x:c r="K113" s="18"/>
      <x:c r="L113" s="18"/>
      <x:c r="M113" s="18"/>
    </x:row>
    <x:row r="114">
      <x:c r="K114" s="18"/>
      <x:c r="L114" s="18"/>
      <x:c r="M114" s="18"/>
    </x:row>
    <x:row r="115">
      <x:c r="K115" s="18"/>
      <x:c r="L115" s="18"/>
      <x:c r="M115" s="18"/>
    </x:row>
    <x:row r="116">
      <x:c r="K116" s="18"/>
      <x:c r="L116" s="18"/>
      <x:c r="M116" s="18"/>
    </x:row>
    <x:row r="117">
      <x:c r="K117" s="18"/>
      <x:c r="L117" s="18"/>
      <x:c r="M117" s="18"/>
    </x:row>
    <x:row r="118">
      <x:c r="K118" s="18"/>
      <x:c r="L118" s="18"/>
      <x:c r="M118" s="18"/>
    </x:row>
    <x:row r="119">
      <x:c r="K119" s="18"/>
      <x:c r="L119" s="18"/>
      <x:c r="M119" s="18"/>
    </x:row>
    <x:row r="120">
      <x:c r="K120" s="18"/>
      <x:c r="L120" s="18"/>
      <x:c r="M120" s="18"/>
    </x:row>
    <x:row r="121">
      <x:c r="K121" s="18"/>
      <x:c r="L121" s="18"/>
      <x:c r="M121" s="18"/>
    </x:row>
    <x:row r="122">
      <x:c r="K122" s="18"/>
      <x:c r="L122" s="18"/>
      <x:c r="M122" s="18"/>
    </x:row>
    <x:row r="123">
      <x:c r="K123" s="18"/>
      <x:c r="L123" s="18"/>
      <x:c r="M123" s="18"/>
    </x:row>
    <x:row r="124">
      <x:c r="K124" s="18"/>
      <x:c r="L124" s="18"/>
      <x:c r="M124" s="18"/>
    </x:row>
    <x:row r="125">
      <x:c r="K125" s="18"/>
      <x:c r="L125" s="18"/>
      <x:c r="M125" s="18"/>
    </x:row>
    <x:row r="126">
      <x:c r="K126" s="18"/>
      <x:c r="L126" s="18"/>
      <x:c r="M126" s="18"/>
    </x:row>
    <x:row r="127">
      <x:c r="K127" s="18"/>
      <x:c r="L127" s="18"/>
      <x:c r="M127" s="18"/>
    </x:row>
    <x:row r="128">
      <x:c r="K128" s="18"/>
      <x:c r="L128" s="18"/>
      <x:c r="M128" s="18"/>
    </x:row>
    <x:row r="129">
      <x:c r="K129" s="18"/>
      <x:c r="L129" s="18"/>
      <x:c r="M129" s="18"/>
    </x:row>
    <x:row r="130">
      <x:c r="K130" s="18"/>
      <x:c r="L130" s="18"/>
      <x:c r="M130" s="18"/>
    </x:row>
    <x:row r="131">
      <x:c r="K131" s="18"/>
      <x:c r="L131" s="18"/>
      <x:c r="M131" s="18"/>
    </x:row>
    <x:row r="132">
      <x:c r="K132" s="18"/>
      <x:c r="L132" s="18"/>
      <x:c r="M132" s="18"/>
    </x:row>
    <x:row r="133">
      <x:c r="K133" s="18"/>
      <x:c r="L133" s="18"/>
      <x:c r="M133" s="18"/>
    </x:row>
    <x:row r="134">
      <x:c r="K134" s="18"/>
      <x:c r="L134" s="18"/>
      <x:c r="M134" s="18"/>
    </x:row>
    <x:row r="135">
      <x:c r="K135" s="18"/>
      <x:c r="L135" s="18"/>
      <x:c r="M135" s="18"/>
    </x:row>
    <x:row r="136">
      <x:c r="K136" s="18"/>
      <x:c r="L136" s="18"/>
      <x:c r="M136" s="18"/>
    </x:row>
    <x:row r="137">
      <x:c r="K137" s="18"/>
      <x:c r="L137" s="18"/>
      <x:c r="M137" s="18"/>
    </x:row>
    <x:row r="138">
      <x:c r="K138" s="18"/>
      <x:c r="L138" s="18"/>
      <x:c r="M138" s="18"/>
    </x:row>
    <x:row r="139">
      <x:c r="K139" s="18"/>
      <x:c r="L139" s="18"/>
      <x:c r="M139" s="18"/>
    </x:row>
    <x:row r="140">
      <x:c r="K140" s="18"/>
      <x:c r="L140" s="18"/>
      <x:c r="M140" s="18"/>
    </x:row>
    <x:row r="141">
      <x:c r="K141" s="18"/>
      <x:c r="L141" s="18"/>
      <x:c r="M141" s="18"/>
    </x:row>
    <x:row r="142">
      <x:c r="K142" s="18"/>
      <x:c r="L142" s="18"/>
      <x:c r="M142" s="18"/>
    </x:row>
    <x:row r="143">
      <x:c r="K143" s="18"/>
      <x:c r="L143" s="18"/>
      <x:c r="M143" s="18"/>
    </x:row>
    <x:row r="144">
      <x:c r="K144" s="18"/>
      <x:c r="L144" s="18"/>
      <x:c r="M144" s="18"/>
    </x:row>
    <x:row r="145">
      <x:c r="K145" s="18"/>
      <x:c r="L145" s="18"/>
      <x:c r="M145" s="18"/>
    </x:row>
    <x:row r="146">
      <x:c r="K146" s="18"/>
      <x:c r="L146" s="18"/>
      <x:c r="M146" s="18"/>
    </x:row>
    <x:row r="147">
      <x:c r="K147" s="18"/>
      <x:c r="L147" s="18"/>
      <x:c r="M147" s="18"/>
    </x:row>
    <x:row r="148">
      <x:c r="K148" s="18"/>
      <x:c r="L148" s="18"/>
      <x:c r="M148" s="18"/>
    </x:row>
    <x:row r="149">
      <x:c r="K149" s="18"/>
      <x:c r="L149" s="18"/>
      <x:c r="M149" s="18"/>
    </x:row>
    <x:row r="150">
      <x:c r="K150" s="18"/>
      <x:c r="L150" s="18"/>
      <x:c r="M150" s="18"/>
    </x:row>
    <x:row r="151">
      <x:c r="K151" s="18"/>
      <x:c r="L151" s="18"/>
      <x:c r="M151" s="18"/>
    </x:row>
    <x:row r="152">
      <x:c r="K152" s="18"/>
      <x:c r="L152" s="18"/>
      <x:c r="M152" s="18"/>
    </x:row>
    <x:row r="153">
      <x:c r="K153" s="18"/>
      <x:c r="L153" s="18"/>
      <x:c r="M153" s="18"/>
    </x:row>
    <x:row r="154">
      <x:c r="K154" s="18"/>
      <x:c r="L154" s="18"/>
      <x:c r="M154" s="18"/>
    </x:row>
    <x:row r="155">
      <x:c r="K155" s="18"/>
      <x:c r="L155" s="18"/>
      <x:c r="M155" s="18"/>
    </x:row>
    <x:row r="156">
      <x:c r="K156" s="18"/>
      <x:c r="L156" s="18"/>
      <x:c r="M156" s="18"/>
    </x:row>
    <x:row r="157">
      <x:c r="K157" s="18"/>
      <x:c r="L157" s="18"/>
      <x:c r="M157" s="18"/>
    </x:row>
    <x:row r="158">
      <x:c r="K158" s="18"/>
      <x:c r="L158" s="18"/>
      <x:c r="M158" s="18"/>
    </x:row>
    <x:row r="159">
      <x:c r="K159" s="18"/>
      <x:c r="L159" s="18"/>
      <x:c r="M159" s="18"/>
    </x:row>
    <x:row r="160">
      <x:c r="K160" s="18"/>
      <x:c r="L160" s="18"/>
      <x:c r="M160" s="18"/>
    </x:row>
    <x:row r="161">
      <x:c r="K161" s="18"/>
      <x:c r="L161" s="18"/>
      <x:c r="M161" s="18"/>
    </x:row>
    <x:row r="162">
      <x:c r="K162" s="18"/>
      <x:c r="L162" s="18"/>
      <x:c r="M162" s="18"/>
    </x:row>
    <x:row r="163">
      <x:c r="K163" s="18"/>
      <x:c r="L163" s="18"/>
      <x:c r="M163" s="18"/>
    </x:row>
    <x:row r="164">
      <x:c r="K164" s="18"/>
      <x:c r="L164" s="18"/>
      <x:c r="M164" s="18"/>
    </x:row>
    <x:row r="165">
      <x:c r="K165" s="18"/>
      <x:c r="L165" s="18"/>
      <x:c r="M165" s="18"/>
    </x:row>
    <x:row r="166">
      <x:c r="K166" s="18"/>
      <x:c r="L166" s="18"/>
      <x:c r="M166" s="18"/>
    </x:row>
    <x:row r="167">
      <x:c r="K167" s="18"/>
      <x:c r="L167" s="18"/>
      <x:c r="M167" s="18"/>
    </x:row>
    <x:row r="168">
      <x:c r="K168" s="18"/>
      <x:c r="L168" s="18"/>
      <x:c r="M168" s="18"/>
    </x:row>
    <x:row r="169">
      <x:c r="K169" s="18"/>
      <x:c r="L169" s="18"/>
      <x:c r="M169" s="18"/>
    </x:row>
    <x:row r="170">
      <x:c r="K170" s="18"/>
      <x:c r="L170" s="18"/>
      <x:c r="M170" s="18"/>
    </x:row>
    <x:row r="171">
      <x:c r="K171" s="18"/>
      <x:c r="L171" s="18"/>
      <x:c r="M171" s="18"/>
    </x:row>
    <x:row r="172">
      <x:c r="K172" s="18"/>
      <x:c r="L172" s="18"/>
      <x:c r="M172" s="18"/>
    </x:row>
    <x:row r="173">
      <x:c r="K173" s="18"/>
      <x:c r="L173" s="18"/>
      <x:c r="M173" s="18"/>
    </x:row>
    <x:row r="174">
      <x:c r="K174" s="18"/>
      <x:c r="L174" s="18"/>
      <x:c r="M174" s="18"/>
    </x:row>
    <x:row r="175">
      <x:c r="K175" s="18"/>
      <x:c r="L175" s="18"/>
      <x:c r="M175" s="18"/>
    </x:row>
    <x:row r="176">
      <x:c r="K176" s="18"/>
      <x:c r="L176" s="18"/>
      <x:c r="M176" s="18"/>
    </x:row>
    <x:row r="177">
      <x:c r="K177" s="18"/>
      <x:c r="L177" s="18"/>
      <x:c r="M177" s="18"/>
    </x:row>
    <x:row r="178">
      <x:c r="K178" s="18"/>
      <x:c r="L178" s="18"/>
      <x:c r="M178" s="18"/>
    </x:row>
    <x:row r="179">
      <x:c r="K179" s="18"/>
      <x:c r="L179" s="18"/>
      <x:c r="M179" s="18"/>
    </x:row>
    <x:row r="180">
      <x:c r="K180" s="18"/>
      <x:c r="L180" s="18"/>
      <x:c r="M180" s="18"/>
    </x:row>
    <x:row r="181">
      <x:c r="K181" s="18"/>
      <x:c r="L181" s="18"/>
      <x:c r="M181" s="18"/>
    </x:row>
    <x:row r="182">
      <x:c r="K182" s="18"/>
      <x:c r="L182" s="18"/>
      <x:c r="M182" s="18"/>
    </x:row>
    <x:row r="183">
      <x:c r="K183" s="18"/>
      <x:c r="L183" s="18"/>
      <x:c r="M183" s="18"/>
    </x:row>
    <x:row r="184">
      <x:c r="K184" s="18"/>
      <x:c r="L184" s="18"/>
      <x:c r="M184" s="18"/>
    </x:row>
    <x:row r="185">
      <x:c r="K185" s="18"/>
      <x:c r="L185" s="18"/>
      <x:c r="M185" s="18"/>
    </x:row>
    <x:row r="186">
      <x:c r="K186" s="18"/>
      <x:c r="L186" s="18"/>
      <x:c r="M186" s="18"/>
    </x:row>
    <x:row r="187">
      <x:c r="K187" s="18"/>
      <x:c r="L187" s="18"/>
      <x:c r="M187" s="18"/>
    </x:row>
    <x:row r="188">
      <x:c r="K188" s="18"/>
      <x:c r="L188" s="18"/>
      <x:c r="M188" s="18"/>
    </x:row>
    <x:row r="189">
      <x:c r="K189" s="18"/>
      <x:c r="L189" s="18"/>
      <x:c r="M189" s="18"/>
    </x:row>
    <x:row r="190">
      <x:c r="K190" s="18"/>
      <x:c r="L190" s="18"/>
      <x:c r="M190" s="18"/>
    </x:row>
    <x:row r="191">
      <x:c r="K191" s="18"/>
      <x:c r="L191" s="18"/>
      <x:c r="M191" s="18"/>
    </x:row>
    <x:row r="192">
      <x:c r="K192" s="18"/>
      <x:c r="L192" s="18"/>
      <x:c r="M192" s="18"/>
    </x:row>
    <x:row r="193">
      <x:c r="K193" s="18"/>
      <x:c r="L193" s="18"/>
      <x:c r="M193" s="18"/>
    </x:row>
    <x:row r="194">
      <x:c r="K194" s="18"/>
      <x:c r="L194" s="18"/>
      <x:c r="M194" s="18"/>
    </x:row>
    <x:row r="195">
      <x:c r="K195" s="18"/>
      <x:c r="L195" s="18"/>
      <x:c r="M195" s="18"/>
    </x:row>
    <x:row r="196">
      <x:c r="K196" s="18"/>
      <x:c r="L196" s="18"/>
      <x:c r="M196" s="18"/>
    </x:row>
    <x:row r="197">
      <x:c r="K197" s="18"/>
      <x:c r="L197" s="18"/>
      <x:c r="M197" s="18"/>
    </x:row>
    <x:row r="198">
      <x:c r="K198" s="18"/>
      <x:c r="L198" s="18"/>
      <x:c r="M198" s="18"/>
    </x:row>
    <x:row r="199">
      <x:c r="K199" s="18"/>
      <x:c r="L199" s="18"/>
      <x:c r="M199" s="18"/>
    </x:row>
    <x:row r="200">
      <x:c r="K200" s="18"/>
      <x:c r="L200" s="18"/>
      <x:c r="M200" s="18"/>
    </x:row>
    <x:row r="201">
      <x:c r="K201" s="18"/>
      <x:c r="L201" s="18"/>
      <x:c r="M201" s="18"/>
    </x:row>
    <x:row r="202">
      <x:c r="K202" s="18"/>
      <x:c r="L202" s="18"/>
      <x:c r="M202" s="18"/>
    </x:row>
    <x:row r="203">
      <x:c r="K203" s="18"/>
      <x:c r="L203" s="18"/>
      <x:c r="M203" s="18"/>
    </x:row>
    <x:row r="204">
      <x:c r="K204" s="18"/>
      <x:c r="L204" s="18"/>
      <x:c r="M204" s="18"/>
    </x:row>
    <x:row r="205">
      <x:c r="K205" s="18"/>
      <x:c r="L205" s="18"/>
      <x:c r="M205" s="18"/>
    </x:row>
  </x:sheetData>
  <x:mergeCells>
    <x:mergeCell ref="A1:N1"/>
    <x:mergeCell ref="A2:N2"/>
    <x:mergeCell ref="A4:N4"/>
  </x:mergeCells>
  <x:conditionalFormatting sqref="K6:K205">
    <x:cfRule type="containsText" dxfId="8" priority="1" operator="containsText" text="OK"/>
    <x:cfRule type="containsText" dxfId="9" priority="2" operator="containsText" text="NG"/>
    <x:cfRule type="containsText" dxfId="10" priority="3" operator="containsText" text="保留"/>
    <x:cfRule type="containsText" dxfId="11" priority="4" operator="containsText" text="対象外"/>
  </x:conditionalFormatting>
  <x:dataValidations count="2">
    <x:dataValidation type="list" sqref="K6:K205">
      <x:formula1>"未実施,OK,NG,保留,対象外"</x:formula1>
    </x:dataValidation>
    <x:dataValidation type="list" sqref="B6:B205">
      <x:formula1>"P0,P1,P2,P3"</x:formula1>
    </x:dataValidation>
  </x:dataValidations>
  <x:pageMargins left="0.7" right="0.7" top="0.75" bottom="0.75" header="0.3" footer="0.3"/>
  <x:tableParts count="1">
    <x:tablePart xmlns:r="http://schemas.openxmlformats.org/officeDocument/2006/relationships" r:id="R60396b848ea5462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18" hidden="0" customWidth="1"/>
    <x:col min="4" max="4" width="34" hidden="0" customWidth="1"/>
    <x:col min="5" max="5" width="48" hidden="0" customWidth="1"/>
    <x:col min="6" max="6" width="52" hidden="0" customWidth="1"/>
    <x:col min="7" max="7" width="48" hidden="0" customWidth="1"/>
    <x:col min="8" max="8" width="52" hidden="0" customWidth="1"/>
    <x:col min="9" max="9" width="28" hidden="0" customWidth="1"/>
    <x:col min="10" max="10" width="26" hidden="0" customWidth="1"/>
    <x:col min="11" max="11" width="10" hidden="0" customWidth="1"/>
    <x:col min="12" max="12" width="20" hidden="0" customWidth="1"/>
    <x:col min="13" max="13" width="16" hidden="0" customWidth="1"/>
    <x:col min="14" max="14" width="34" hidden="0" customWidth="1"/>
  </x:cols>
  <x:sheetData>
    <x:row r="1" ht="30" customHeight="1">
      <x:c r="A1" s="3" t="str">
        <x:v>数量正規化・6缶パック等チェックリスト</x:v>
      </x:c>
      <x:c r="B1" s="3"/>
      <x:c r="C1" s="3"/>
      <x:c r="D1" s="3"/>
      <x:c r="E1" s="3"/>
      <x:c r="F1" s="3"/>
      <x:c r="G1" s="3"/>
      <x:c r="H1" s="3"/>
      <x:c r="I1" s="3"/>
      <x:c r="J1" s="3"/>
      <x:c r="K1" s="3"/>
      <x:c r="L1" s="3"/>
      <x:c r="M1" s="3"/>
      <x:c r="N1" s="3"/>
    </x:row>
    <x:row r="2" ht="42" customHeight="1">
      <x:c r="A2" s="7" t="str">
        <x:v>K列に結果を記録し、L/M/N列に実データ・証跡を残す。JX受信済みのローカルデータを前提に、必要な行だけ実施してよい。</x:v>
      </x:c>
      <x:c r="B2" s="7"/>
      <x:c r="C2" s="7"/>
      <x:c r="D2" s="7"/>
      <x:c r="E2" s="7"/>
      <x:c r="F2" s="7"/>
      <x:c r="G2" s="7"/>
      <x:c r="H2" s="7"/>
      <x:c r="I2" s="7"/>
      <x:c r="J2" s="7"/>
      <x:c r="K2" s="7"/>
      <x:c r="L2" s="7"/>
      <x:c r="M2" s="7"/>
      <x:c r="N2" s="7"/>
    </x:row>
    <x:row r="4" ht="24" customHeight="1">
      <x:c r="A4" s="9" t="str">
        <x:v>ステータス: 未実施 / OK / NG / 保留 / 対象外</x:v>
      </x:c>
      <x:c r="B4" s="9"/>
      <x:c r="C4" s="9"/>
      <x:c r="D4" s="9"/>
      <x:c r="E4" s="9"/>
      <x:c r="F4" s="9"/>
      <x:c r="G4" s="9"/>
      <x:c r="H4" s="9"/>
      <x:c r="I4" s="9"/>
      <x:c r="J4" s="9"/>
      <x:c r="K4" s="9"/>
      <x:c r="L4" s="9"/>
      <x:c r="M4" s="9"/>
      <x:c r="N4" s="9"/>
    </x:row>
    <x:row r="5" ht="34" customHeight="1">
      <x:c r="A5" s="19" t="str">
        <x:v>No</x:v>
      </x:c>
      <x:c r="B5" s="19" t="str">
        <x:v>優先度</x:v>
      </x:c>
      <x:c r="C5" s="19" t="str">
        <x:v>テスト観点</x:v>
      </x:c>
      <x:c r="D5" s="19" t="str">
        <x:v>ケース</x:v>
      </x:c>
      <x:c r="E5" s="19" t="str">
        <x:v>事前条件/対象データ</x:v>
      </x:c>
      <x:c r="F5" s="19" t="str">
        <x:v>操作</x:v>
      </x:c>
      <x:c r="G5" s="19" t="str">
        <x:v>期待結果(UI)</x:v>
      </x:c>
      <x:c r="H5" s="19" t="str">
        <x:v>期待結果(DB)</x:v>
      </x:c>
      <x:c r="I5" s="19" t="str">
        <x:v>確認画面/SQL</x:v>
      </x:c>
      <x:c r="J5" s="19" t="str">
        <x:v>入力する実データ</x:v>
      </x:c>
      <x:c r="K5" s="19" t="str">
        <x:v>結果</x:v>
      </x:c>
      <x:c r="L5" s="19" t="str">
        <x:v>JXログID/伝票</x:v>
      </x:c>
      <x:c r="M5" s="19" t="str">
        <x:v>仕入キューID</x:v>
      </x:c>
      <x:c r="N5" s="19" t="str">
        <x:v>メモ</x:v>
      </x:c>
    </x:row>
    <x:row r="6" ht="70" customHeight="1">
      <x:c r="A6" s="20" t="str">
        <x:v>QT-001</x:v>
      </x:c>
      <x:c r="B6" s="20" t="str">
        <x:v>P0</x:v>
      </x:c>
      <x:c r="C6" s="21" t="str">
        <x:v>通常ケース</x:v>
      </x:c>
      <x:c r="D6" s="21" t="str">
        <x:v>通常JANは case_quantity×pack_quantity + piece_quantity を総バラ数にする</x:v>
      </x:c>
      <x:c r="E6" s="21" t="str">
        <x:v>通常商品、ordering_unit_quantityなし。</x:v>
      </x:c>
      <x:c r="F6" s="21" t="str">
        <x:v>該当Dレコードを取り込む。</x:v>
      </x:c>
      <x:c r="G6" s="21" t="str">
        <x:v>総バラ数が通常式と一致する。</x:v>
      </x:c>
      <x:c r="H6" s="21" t="str">
        <x:v>wms_incoming_received_details.total_quantity=(case*pack)+piece。</x:v>
      </x:c>
      <x:c r="I6" s="21" t="str">
        <x:v>SQL-02, SQL-12</x:v>
      </x:c>
      <x:c r="J6" s="21" t="str">
        <x:v>case, pack, piece</x:v>
      </x:c>
      <x:c r="K6" s="20" t="str">
        <x:v>未実施</x:v>
      </x:c>
      <x:c r="L6" s="20" t="str"/>
      <x:c r="M6" s="20" t="str"/>
      <x:c r="N6" s="21" t="str"/>
    </x:row>
    <x:row r="7" ht="70" customHeight="1">
      <x:c r="A7" s="20" t="str">
        <x:v>QT-002</x:v>
      </x:c>
      <x:c r="B7" s="20" t="str">
        <x:v>P0</x:v>
      </x:c>
      <x:c r="C7" s="21" t="str">
        <x:v>6缶パック</x:v>
      </x:c>
      <x:c r="D7" s="21" t="str">
        <x:v>6缶JANは発注単位数量6を掛けて総バラ数へ正規化する</x:v>
      </x:c>
      <x:c r="E7" s="21" t="str">
        <x:v>item_quantity_information.quantity=6でcapacity_caseとは別のJAN。</x:v>
      </x:c>
      <x:c r="F7" s="21" t="str">
        <x:v>該当Dレコードを取り込む。</x:v>
      </x:c>
      <x:c r="G7" s="21" t="str">
        <x:v>総バラ数がraw数量×6になる。</x:v>
      </x:c>
      <x:c r="H7" s="21" t="str">
        <x:v>total_quantity=((case*pack)+piece)*6。</x:v>
      </x:c>
      <x:c r="I7" s="21" t="str">
        <x:v>SQL-12</x:v>
      </x:c>
      <x:c r="J7" s="21" t="str">
        <x:v>6缶JAN</x:v>
      </x:c>
      <x:c r="K7" s="20" t="str">
        <x:v>未実施</x:v>
      </x:c>
      <x:c r="L7" s="20" t="str"/>
      <x:c r="M7" s="20" t="str"/>
      <x:c r="N7" s="21" t="str"/>
    </x:row>
    <x:row r="8" ht="70" customHeight="1">
      <x:c r="A8" s="20" t="str">
        <x:v>QT-003</x:v>
      </x:c>
      <x:c r="B8" s="20" t="str">
        <x:v>P0</x:v>
      </x:c>
      <x:c r="C8" s="21" t="str">
        <x:v>6缶パック</x:v>
      </x:c>
      <x:c r="D8" s="21" t="str">
        <x:v>6缶のpiece列数量も6倍される</x:v>
      </x:c>
      <x:c r="E8" s="21" t="str">
        <x:v>case=0、piece&gt;0、pack=4などの6缶JAN。</x:v>
      </x:c>
      <x:c r="F8" s="21" t="str">
        <x:v>該当Dレコードを取り込む。</x:v>
      </x:c>
      <x:c r="G8" s="21" t="str">
        <x:v>piece列だけの受信でも総バラ数が6倍される。</x:v>
      </x:c>
      <x:c r="H8" s="21" t="str">
        <x:v>例: piece=8、ordering_unit=6ならtotal_quantity=48。</x:v>
      </x:c>
      <x:c r="I8" s="21" t="str">
        <x:v>SQL-12</x:v>
      </x:c>
      <x:c r="J8" s="21" t="str">
        <x:v>piece列数量</x:v>
      </x:c>
      <x:c r="K8" s="20" t="str">
        <x:v>未実施</x:v>
      </x:c>
      <x:c r="L8" s="20" t="str"/>
      <x:c r="M8" s="20" t="str"/>
      <x:c r="N8" s="21" t="str"/>
    </x:row>
    <x:row r="9" ht="70" customHeight="1">
      <x:c r="A9" s="20" t="str">
        <x:v>QT-004</x:v>
      </x:c>
      <x:c r="B9" s="20" t="str">
        <x:v>P0</x:v>
      </x:c>
      <x:c r="C9" s="21" t="str">
        <x:v>4缶パック</x:v>
      </x:c>
      <x:c r="D9" s="21" t="str">
        <x:v>4缶JANは発注単位数量4を掛ける</x:v>
      </x:c>
      <x:c r="E9" s="21" t="str">
        <x:v>item_quantity_information.quantity=4のJAN。</x:v>
      </x:c>
      <x:c r="F9" s="21" t="str">
        <x:v>該当Dレコードを取り込む。</x:v>
      </x:c>
      <x:c r="G9" s="21" t="str">
        <x:v>総バラ数がraw数量×4になる。</x:v>
      </x:c>
      <x:c r="H9" s="21" t="str">
        <x:v>total_quantity=((case*pack)+piece)*4。</x:v>
      </x:c>
      <x:c r="I9" s="21" t="str">
        <x:v>SQL-12</x:v>
      </x:c>
      <x:c r="J9" s="21" t="str">
        <x:v>4缶JAN</x:v>
      </x:c>
      <x:c r="K9" s="20" t="str">
        <x:v>未実施</x:v>
      </x:c>
      <x:c r="L9" s="20" t="str"/>
      <x:c r="M9" s="20" t="str"/>
      <x:c r="N9" s="21" t="str"/>
    </x:row>
    <x:row r="10" ht="70" customHeight="1">
      <x:c r="A10" s="20" t="str">
        <x:v>QT-005</x:v>
      </x:c>
      <x:c r="B10" s="20" t="str">
        <x:v>P1</x:v>
      </x:c>
      <x:c r="C10" s="21" t="str">
        <x:v>capacity除外</x:v>
      </x:c>
      <x:c r="D10" s="21" t="str">
        <x:v>発注単位数量がcapacity_caseと同じ場合は追加倍率を掛けない</x:v>
      </x:c>
      <x:c r="E10" s="21" t="str">
        <x:v>item_quantity_information.quantity と items.capacity_case が同じ商品。</x:v>
      </x:c>
      <x:c r="F10" s="21" t="str">
        <x:v>該当Dレコードを取り込む。</x:v>
      </x:c>
      <x:c r="G10" s="21" t="str">
        <x:v>二重に掛け算されない。</x:v>
      </x:c>
      <x:c r="H10" s="21" t="str">
        <x:v>orderingUnitQuantityはnull扱い、total_quantity=(case*pack)+piece。</x:v>
      </x:c>
      <x:c r="I10" s="21" t="str">
        <x:v>SQL-12</x:v>
      </x:c>
      <x:c r="J10" s="21" t="str">
        <x:v>JAN、capacity_case</x:v>
      </x:c>
      <x:c r="K10" s="20" t="str">
        <x:v>未実施</x:v>
      </x:c>
      <x:c r="L10" s="20" t="str"/>
      <x:c r="M10" s="20" t="str"/>
      <x:c r="N10" s="21" t="str"/>
    </x:row>
    <x:row r="11" ht="70" customHeight="1">
      <x:c r="A11" s="20" t="str">
        <x:v>QT-006</x:v>
      </x:c>
      <x:c r="B11" s="20" t="str">
        <x:v>P0</x:v>
      </x:c>
      <x:c r="C11" s="21" t="str">
        <x:v>ケース戻し</x:v>
      </x:c>
      <x:c r="D11" s="21" t="str">
        <x:v>総バラ数がcapacity_caseで割り切れるCASE予定はケース数量へ戻る</x:v>
      </x:c>
      <x:c r="E11" s="21" t="str">
        <x:v>CASE予定、capacity_case=24、総バラ48など。</x:v>
      </x:c>
      <x:c r="F11" s="21" t="str">
        <x:v>取り込み後、入荷完了画面を確認する。</x:v>
      </x:c>
      <x:c r="G11" s="21" t="str">
        <x:v>ケース=2、総バラ=48になる。</x:v>
      </x:c>
      <x:c r="H11" s="21" t="str">
        <x:v>quantity_type=CASE、received_quantity=2。</x:v>
      </x:c>
      <x:c r="I11" s="21" t="str">
        <x:v>SQL-03</x:v>
      </x:c>
      <x:c r="J11" s="21" t="str">
        <x:v>capacity_case、総バラ</x:v>
      </x:c>
      <x:c r="K11" s="20" t="str">
        <x:v>未実施</x:v>
      </x:c>
      <x:c r="L11" s="20" t="str"/>
      <x:c r="M11" s="20" t="str"/>
      <x:c r="N11" s="21" t="str"/>
    </x:row>
    <x:row r="12" ht="70" customHeight="1">
      <x:c r="A12" s="20" t="str">
        <x:v>QT-007</x:v>
      </x:c>
      <x:c r="B12" s="20" t="str">
        <x:v>P0</x:v>
      </x:c>
      <x:c r="C12" s="21" t="str">
        <x:v>6缶ケース戻し</x:v>
      </x:c>
      <x:c r="D12" s="21" t="str">
        <x:v>6缶パックの正規化後もCASE予定の数量に戻る</x:v>
      </x:c>
      <x:c r="E12" s="21" t="str">
        <x:v>CASE予定、6缶JAN、正規化総バラが予定総バラと一致。</x:v>
      </x:c>
      <x:c r="F12" s="21" t="str">
        <x:v>対象ログを取り込む。</x:v>
      </x:c>
      <x:c r="G12" s="21" t="str">
        <x:v>ケース数・総バラ数が両方整合する。</x:v>
      </x:c>
      <x:c r="H12" s="21" t="str">
        <x:v>quantity_type=CASE、expected/receivedはケース数、total_piece_quantityはcapacity_case換算。</x:v>
      </x:c>
      <x:c r="I12" s="21" t="str">
        <x:v>SQL-03, SQL-12</x:v>
      </x:c>
      <x:c r="J12" s="21" t="str">
        <x:v>6缶JAN、予定数量</x:v>
      </x:c>
      <x:c r="K12" s="20" t="str">
        <x:v>未実施</x:v>
      </x:c>
      <x:c r="L12" s="20" t="str"/>
      <x:c r="M12" s="20" t="str"/>
      <x:c r="N12" s="21" t="str"/>
    </x:row>
    <x:row r="13" ht="70" customHeight="1">
      <x:c r="A13" s="20" t="str">
        <x:v>QT-008</x:v>
      </x:c>
      <x:c r="B13" s="20" t="str">
        <x:v>P0</x:v>
      </x:c>
      <x:c r="C13" s="21" t="str">
        <x:v>PIECE予定</x:v>
      </x:c>
      <x:c r="D13" s="21" t="str">
        <x:v>PIECE予定は正規化総バラ数をそのまま数量にする</x:v>
      </x:c>
      <x:c r="E13" s="21" t="str">
        <x:v>quantity_type=PIECEの入荷予定。</x:v>
      </x:c>
      <x:c r="F13" s="21" t="str">
        <x:v>取り込み後、入荷完了画面を確認する。</x:v>
      </x:c>
      <x:c r="G13" s="21" t="str">
        <x:v>ケース欄は換算表示、バラ/総バラが一致する。</x:v>
      </x:c>
      <x:c r="H13" s="21" t="str">
        <x:v>quantity_type=PIECE、received_quantity=total_quantity。</x:v>
      </x:c>
      <x:c r="I13" s="21" t="str">
        <x:v>SQL-03</x:v>
      </x:c>
      <x:c r="J13" s="21" t="str">
        <x:v>PIECE予定schedule_id</x:v>
      </x:c>
      <x:c r="K13" s="20" t="str">
        <x:v>未実施</x:v>
      </x:c>
      <x:c r="L13" s="20" t="str"/>
      <x:c r="M13" s="20" t="str"/>
      <x:c r="N13" s="21" t="str"/>
    </x:row>
    <x:row r="14" ht="70" customHeight="1">
      <x:c r="A14" s="20" t="str">
        <x:v>QT-009</x:v>
      </x:c>
      <x:c r="B14" s="20" t="str">
        <x:v>P1</x:v>
      </x:c>
      <x:c r="C14" s="21" t="str">
        <x:v>バラ混在</x:v>
      </x:c>
      <x:c r="D14" s="21" t="str">
        <x:v>CASE予定にcase/piece混在でも総バラが割り切れる場合はCASE維持</x:v>
      </x:c>
      <x:c r="E14" s="21" t="str">
        <x:v>CASE予定、piece_quantity&gt;0、総バラ%capacity_case=0。</x:v>
      </x:c>
      <x:c r="F14" s="21" t="str">
        <x:v>取り込みを実行する。</x:v>
      </x:c>
      <x:c r="G14" s="21" t="str">
        <x:v>CASEのまま入荷完了に出る。</x:v>
      </x:c>
      <x:c r="H14" s="21" t="str">
        <x:v>canRepresentReceivedQuantityInScheduleUnit=true、quantity_type=CASE。</x:v>
      </x:c>
      <x:c r="I14" s="21" t="str">
        <x:v>SQL-03, SQL-12</x:v>
      </x:c>
      <x:c r="J14" s="21" t="str">
        <x:v>case, piece</x:v>
      </x:c>
      <x:c r="K14" s="20" t="str">
        <x:v>未実施</x:v>
      </x:c>
      <x:c r="L14" s="20" t="str"/>
      <x:c r="M14" s="20" t="str"/>
      <x:c r="N14" s="21" t="str"/>
    </x:row>
    <x:row r="15" ht="70" customHeight="1">
      <x:c r="A15" s="20" t="str">
        <x:v>QT-010</x:v>
      </x:c>
      <x:c r="B15" s="20" t="str">
        <x:v>P1</x:v>
      </x:c>
      <x:c r="C15" s="21" t="str">
        <x:v>端数バラ</x:v>
      </x:c>
      <x:c r="D15" s="21" t="str">
        <x:v>CASE予定に端数バラがある場合はPIECEへ変換する</x:v>
      </x:c>
      <x:c r="E15" s="21" t="str">
        <x:v>CASE予定、総バラ%capacity_case!=0。</x:v>
      </x:c>
      <x:c r="F15" s="21" t="str">
        <x:v>取り込みを実行する。</x:v>
      </x:c>
      <x:c r="G15" s="21" t="str">
        <x:v>入荷完了画面のケース/バラ/総バラに矛盾がない。</x:v>
      </x:c>
      <x:c r="H15" s="21" t="str">
        <x:v>quantity_type=PIECE、expected_quantity=予定総バラ、received_quantity=受信総バラ。</x:v>
      </x:c>
      <x:c r="I15" s="21" t="str">
        <x:v>SQL-03</x:v>
      </x:c>
      <x:c r="J15" s="21" t="str">
        <x:v>capacity_case、端数</x:v>
      </x:c>
      <x:c r="K15" s="20" t="str">
        <x:v>未実施</x:v>
      </x:c>
      <x:c r="L15" s="20" t="str"/>
      <x:c r="M15" s="20" t="str"/>
      <x:c r="N15" s="21" t="str"/>
    </x:row>
    <x:row r="16" ht="70" customHeight="1">
      <x:c r="A16" s="20" t="str">
        <x:v>QT-011</x:v>
      </x:c>
      <x:c r="B16" s="20" t="str">
        <x:v>P1</x:v>
      </x:c>
      <x:c r="C16" s="21" t="str">
        <x:v>複数行合算</x:v>
      </x:c>
      <x:c r="D16" s="21" t="str">
        <x:v>同一予定に複数Dレコードが紐づく場合、総バラ数を合算して書き戻す</x:v>
      </x:c>
      <x:c r="E16" s="21" t="str">
        <x:v>同じschedule_idに複数明細がmatched。</x:v>
      </x:c>
      <x:c r="F16" s="21" t="str">
        <x:v>取り込みを実行する。</x:v>
      </x:c>
      <x:c r="G16" s="21" t="str">
        <x:v>入荷実績が明細合算になる。</x:v>
      </x:c>
      <x:c r="H16" s="21" t="str">
        <x:v>shipped_quantity/received_quantity が対象details.total_quantity合算の単位換算値。</x:v>
      </x:c>
      <x:c r="I16" s="21" t="str">
        <x:v>SQL-02, SQL-03</x:v>
      </x:c>
      <x:c r="J16" s="21" t="str">
        <x:v>対象行番号</x:v>
      </x:c>
      <x:c r="K16" s="20" t="str">
        <x:v>未実施</x:v>
      </x:c>
      <x:c r="L16" s="20" t="str"/>
      <x:c r="M16" s="20" t="str"/>
      <x:c r="N16" s="21" t="str"/>
    </x:row>
    <x:row r="17" ht="70" customHeight="1">
      <x:c r="A17" s="20" t="str">
        <x:v>QT-012</x:v>
      </x:c>
      <x:c r="B17" s="20" t="str">
        <x:v>P0</x:v>
      </x:c>
      <x:c r="C17" s="21" t="str">
        <x:v>欠品数量</x:v>
      </x:c>
      <x:c r="D17" s="21" t="str">
        <x:v>欠品行はtotal_quantity=0として扱う</x:v>
      </x:c>
      <x:c r="E17" s="21" t="str">
        <x:v>case=0、piece=0のDレコード。</x:v>
      </x:c>
      <x:c r="F17" s="21" t="str">
        <x:v>取り込みを実行する。</x:v>
      </x:c>
      <x:c r="G17" s="21" t="str">
        <x:v>入荷実績0、欠品あり。</x:v>
      </x:c>
      <x:c r="H17" s="21" t="str">
        <x:v>detail.is_shortage=1、total_quantity=0、schedule.shipped_quantity=0。</x:v>
      </x:c>
      <x:c r="I17" s="21" t="str">
        <x:v>SQL-02, SQL-03</x:v>
      </x:c>
      <x:c r="J17" s="21" t="str">
        <x:v>欠品明細</x:v>
      </x:c>
      <x:c r="K17" s="20" t="str">
        <x:v>未実施</x:v>
      </x:c>
      <x:c r="L17" s="20" t="str"/>
      <x:c r="M17" s="20" t="str"/>
      <x:c r="N17" s="21" t="str"/>
    </x:row>
    <x:row r="18" ht="70" customHeight="1">
      <x:c r="A18" s="20" t="str">
        <x:v>QT-013</x:v>
      </x:c>
      <x:c r="B18" s="20" t="str">
        <x:v>P0</x:v>
      </x:c>
      <x:c r="C18" s="21" t="str">
        <x:v>金額</x:v>
      </x:c>
      <x:c r="D18" s="21" t="str">
        <x:v>EOSインポート側の金額は単価×価格対象数量で計算される</x:v>
      </x:c>
      <x:c r="E18" s="21" t="str">
        <x:v>Dレコードにunit_price_rawがある。</x:v>
      </x:c>
      <x:c r="F18" s="21" t="str">
        <x:v>JX EOS import batch/lineを確認する。</x:v>
      </x:c>
      <x:c r="G18" s="21" t="str">
        <x:v>単価と金額が表示・保存される。</x:v>
      </x:c>
      <x:c r="H18" s="21" t="str">
        <x:v>wms_jx_eos_lines.amount = unit_price * (case_quantity&gt;0 ? case_quantity : piece_quantity)。</x:v>
      </x:c>
      <x:c r="I18" s="21" t="str">
        <x:v>SQL-05</x:v>
      </x:c>
      <x:c r="J18" s="21" t="str">
        <x:v>unit_price_raw</x:v>
      </x:c>
      <x:c r="K18" s="20" t="str">
        <x:v>未実施</x:v>
      </x:c>
      <x:c r="L18" s="20" t="str"/>
      <x:c r="M18" s="20" t="str"/>
      <x:c r="N18" s="21" t="str"/>
    </x:row>
    <x:row r="19" ht="70" customHeight="1">
      <x:c r="A19" s="20" t="str">
        <x:v>QT-014</x:v>
      </x:c>
      <x:c r="B19" s="20" t="str">
        <x:v>P0</x:v>
      </x:c>
      <x:c r="C19" s="21" t="str">
        <x:v>金額原本</x:v>
      </x:c>
      <x:c r="D19" s="21" t="str">
        <x:v>単価相違原本にも受信金額が保存される</x:v>
      </x:c>
      <x:c r="E19" s="21" t="str">
        <x:v>price_check_sourcesに対象明細が登録済み。</x:v>
      </x:c>
      <x:c r="F19" s="21" t="str">
        <x:v>SQLで確認する。</x:v>
      </x:c>
      <x:c r="G19" s="21" t="str">
        <x:v>sakemaru-ai-core側で金額比較に使える。</x:v>
      </x:c>
      <x:c r="H19" s="21" t="str">
        <x:v>wms_incoming_price_check_sources.received_amount is not null。</x:v>
      </x:c>
      <x:c r="I19" s="21" t="str">
        <x:v>SQL-06</x:v>
      </x:c>
      <x:c r="J19" s="21" t="str">
        <x:v>source_key</x:v>
      </x:c>
      <x:c r="K19" s="20" t="str">
        <x:v>未実施</x:v>
      </x:c>
      <x:c r="L19" s="20" t="str"/>
      <x:c r="M19" s="20" t="str"/>
      <x:c r="N19" s="21" t="str"/>
    </x:row>
    <x:row r="20" ht="70" customHeight="1">
      <x:c r="A20" s="20" t="str">
        <x:v>QT-015</x:v>
      </x:c>
      <x:c r="B20" s="20" t="str">
        <x:v>P0</x:v>
      </x:c>
      <x:c r="C20" s="21" t="str">
        <x:v>画面表示</x:v>
      </x:c>
      <x:c r="D20" s="21" t="str">
        <x:v>入荷完了画面の入り数・ケース数・バラ数・総バラ数が整合する</x:v>
      </x:c>
      <x:c r="E20" s="21" t="str">
        <x:v>数量が複数パターンある入荷完了データ。</x:v>
      </x:c>
      <x:c r="F20" s="21" t="str">
        <x:v>入荷完了画面で対象明細を確認する。</x:v>
      </x:c>
      <x:c r="G20" s="21" t="str">
        <x:v>CASEはケース×入り数=総バラ。PIECEはケース換算+バラ=総バラ。</x:v>
      </x:c>
      <x:c r="H20" s="21" t="str">
        <x:v>DBのquantity_type/expected_quantity/items.capacity_caseから再計算した値とUIが一致。</x:v>
      </x:c>
      <x:c r="I20" s="21" t="str">
        <x:v>SQL-03</x:v>
      </x:c>
      <x:c r="J20" s="21" t="str">
        <x:v>画面の表示値</x:v>
      </x:c>
      <x:c r="K20" s="20" t="str">
        <x:v>未実施</x:v>
      </x:c>
      <x:c r="L20" s="20" t="str"/>
      <x:c r="M20" s="20" t="str"/>
      <x:c r="N20" s="21" t="str"/>
    </x:row>
    <x:row r="21">
      <x:c r="K21" s="18"/>
      <x:c r="L21" s="18"/>
      <x:c r="M21" s="18"/>
    </x:row>
    <x:row r="22">
      <x:c r="K22" s="18"/>
      <x:c r="L22" s="18"/>
      <x:c r="M22" s="18"/>
    </x:row>
    <x:row r="23">
      <x:c r="K23" s="18"/>
      <x:c r="L23" s="18"/>
      <x:c r="M23" s="18"/>
    </x:row>
    <x:row r="24">
      <x:c r="K24" s="18"/>
      <x:c r="L24" s="18"/>
      <x:c r="M24" s="18"/>
    </x:row>
    <x:row r="25">
      <x:c r="K25" s="18"/>
      <x:c r="L25" s="18"/>
      <x:c r="M25" s="18"/>
    </x:row>
    <x:row r="26">
      <x:c r="K26" s="18"/>
      <x:c r="L26" s="18"/>
      <x:c r="M26" s="18"/>
    </x:row>
    <x:row r="27">
      <x:c r="K27" s="18"/>
      <x:c r="L27" s="18"/>
      <x:c r="M27" s="18"/>
    </x:row>
    <x:row r="28">
      <x:c r="K28" s="18"/>
      <x:c r="L28" s="18"/>
      <x:c r="M28" s="18"/>
    </x:row>
    <x:row r="29">
      <x:c r="K29" s="18"/>
      <x:c r="L29" s="18"/>
      <x:c r="M29" s="18"/>
    </x:row>
    <x:row r="30">
      <x:c r="K30" s="18"/>
      <x:c r="L30" s="18"/>
      <x:c r="M30" s="18"/>
    </x:row>
    <x:row r="31">
      <x:c r="K31" s="18"/>
      <x:c r="L31" s="18"/>
      <x:c r="M31" s="18"/>
    </x:row>
    <x:row r="32">
      <x:c r="K32" s="18"/>
      <x:c r="L32" s="18"/>
      <x:c r="M32" s="18"/>
    </x:row>
    <x:row r="33">
      <x:c r="K33" s="18"/>
      <x:c r="L33" s="18"/>
      <x:c r="M33" s="18"/>
    </x:row>
    <x:row r="34">
      <x:c r="K34" s="18"/>
      <x:c r="L34" s="18"/>
      <x:c r="M34" s="18"/>
    </x:row>
    <x:row r="35">
      <x:c r="K35" s="18"/>
      <x:c r="L35" s="18"/>
      <x:c r="M35" s="18"/>
    </x:row>
    <x:row r="36">
      <x:c r="K36" s="18"/>
      <x:c r="L36" s="18"/>
      <x:c r="M36" s="18"/>
    </x:row>
    <x:row r="37">
      <x:c r="K37" s="18"/>
      <x:c r="L37" s="18"/>
      <x:c r="M37" s="18"/>
    </x:row>
    <x:row r="38">
      <x:c r="K38" s="18"/>
      <x:c r="L38" s="18"/>
      <x:c r="M38" s="18"/>
    </x:row>
    <x:row r="39">
      <x:c r="K39" s="18"/>
      <x:c r="L39" s="18"/>
      <x:c r="M39" s="18"/>
    </x:row>
    <x:row r="40">
      <x:c r="K40" s="18"/>
      <x:c r="L40" s="18"/>
      <x:c r="M40" s="18"/>
    </x:row>
    <x:row r="41">
      <x:c r="K41" s="18"/>
      <x:c r="L41" s="18"/>
      <x:c r="M41" s="18"/>
    </x:row>
    <x:row r="42">
      <x:c r="K42" s="18"/>
      <x:c r="L42" s="18"/>
      <x:c r="M42" s="18"/>
    </x:row>
    <x:row r="43">
      <x:c r="K43" s="18"/>
      <x:c r="L43" s="18"/>
      <x:c r="M43" s="18"/>
    </x:row>
    <x:row r="44">
      <x:c r="K44" s="18"/>
      <x:c r="L44" s="18"/>
      <x:c r="M44" s="18"/>
    </x:row>
    <x:row r="45">
      <x:c r="K45" s="18"/>
      <x:c r="L45" s="18"/>
      <x:c r="M45" s="18"/>
    </x:row>
    <x:row r="46">
      <x:c r="K46" s="18"/>
      <x:c r="L46" s="18"/>
      <x:c r="M46" s="18"/>
    </x:row>
    <x:row r="47">
      <x:c r="K47" s="18"/>
      <x:c r="L47" s="18"/>
      <x:c r="M47" s="18"/>
    </x:row>
    <x:row r="48">
      <x:c r="K48" s="18"/>
      <x:c r="L48" s="18"/>
      <x:c r="M48" s="18"/>
    </x:row>
    <x:row r="49">
      <x:c r="K49" s="18"/>
      <x:c r="L49" s="18"/>
      <x:c r="M49" s="18"/>
    </x:row>
    <x:row r="50">
      <x:c r="K50" s="18"/>
      <x:c r="L50" s="18"/>
      <x:c r="M50" s="18"/>
    </x:row>
    <x:row r="51">
      <x:c r="K51" s="18"/>
      <x:c r="L51" s="18"/>
      <x:c r="M51" s="18"/>
    </x:row>
    <x:row r="52">
      <x:c r="K52" s="18"/>
      <x:c r="L52" s="18"/>
      <x:c r="M52" s="18"/>
    </x:row>
    <x:row r="53">
      <x:c r="K53" s="18"/>
      <x:c r="L53" s="18"/>
      <x:c r="M53" s="18"/>
    </x:row>
    <x:row r="54">
      <x:c r="K54" s="18"/>
      <x:c r="L54" s="18"/>
      <x:c r="M54" s="18"/>
    </x:row>
    <x:row r="55">
      <x:c r="K55" s="18"/>
      <x:c r="L55" s="18"/>
      <x:c r="M55" s="18"/>
    </x:row>
    <x:row r="56">
      <x:c r="K56" s="18"/>
      <x:c r="L56" s="18"/>
      <x:c r="M56" s="18"/>
    </x:row>
    <x:row r="57">
      <x:c r="K57" s="18"/>
      <x:c r="L57" s="18"/>
      <x:c r="M57" s="18"/>
    </x:row>
    <x:row r="58">
      <x:c r="K58" s="18"/>
      <x:c r="L58" s="18"/>
      <x:c r="M58" s="18"/>
    </x:row>
    <x:row r="59">
      <x:c r="K59" s="18"/>
      <x:c r="L59" s="18"/>
      <x:c r="M59" s="18"/>
    </x:row>
    <x:row r="60">
      <x:c r="K60" s="18"/>
      <x:c r="L60" s="18"/>
      <x:c r="M60" s="18"/>
    </x:row>
    <x:row r="61">
      <x:c r="K61" s="18"/>
      <x:c r="L61" s="18"/>
      <x:c r="M61" s="18"/>
    </x:row>
    <x:row r="62">
      <x:c r="K62" s="18"/>
      <x:c r="L62" s="18"/>
      <x:c r="M62" s="18"/>
    </x:row>
    <x:row r="63">
      <x:c r="K63" s="18"/>
      <x:c r="L63" s="18"/>
      <x:c r="M63" s="18"/>
    </x:row>
    <x:row r="64">
      <x:c r="K64" s="18"/>
      <x:c r="L64" s="18"/>
      <x:c r="M64" s="18"/>
    </x:row>
    <x:row r="65">
      <x:c r="K65" s="18"/>
      <x:c r="L65" s="18"/>
      <x:c r="M65" s="18"/>
    </x:row>
    <x:row r="66">
      <x:c r="K66" s="18"/>
      <x:c r="L66" s="18"/>
      <x:c r="M66" s="18"/>
    </x:row>
    <x:row r="67">
      <x:c r="K67" s="18"/>
      <x:c r="L67" s="18"/>
      <x:c r="M67" s="18"/>
    </x:row>
    <x:row r="68">
      <x:c r="K68" s="18"/>
      <x:c r="L68" s="18"/>
      <x:c r="M68" s="18"/>
    </x:row>
    <x:row r="69">
      <x:c r="K69" s="18"/>
      <x:c r="L69" s="18"/>
      <x:c r="M69" s="18"/>
    </x:row>
    <x:row r="70">
      <x:c r="K70" s="18"/>
      <x:c r="L70" s="18"/>
      <x:c r="M70" s="18"/>
    </x:row>
    <x:row r="71">
      <x:c r="K71" s="18"/>
      <x:c r="L71" s="18"/>
      <x:c r="M71" s="18"/>
    </x:row>
    <x:row r="72">
      <x:c r="K72" s="18"/>
      <x:c r="L72" s="18"/>
      <x:c r="M72" s="18"/>
    </x:row>
    <x:row r="73">
      <x:c r="K73" s="18"/>
      <x:c r="L73" s="18"/>
      <x:c r="M73" s="18"/>
    </x:row>
    <x:row r="74">
      <x:c r="K74" s="18"/>
      <x:c r="L74" s="18"/>
      <x:c r="M74" s="18"/>
    </x:row>
    <x:row r="75">
      <x:c r="K75" s="18"/>
      <x:c r="L75" s="18"/>
      <x:c r="M75" s="18"/>
    </x:row>
    <x:row r="76">
      <x:c r="K76" s="18"/>
      <x:c r="L76" s="18"/>
      <x:c r="M76" s="18"/>
    </x:row>
    <x:row r="77">
      <x:c r="K77" s="18"/>
      <x:c r="L77" s="18"/>
      <x:c r="M77" s="18"/>
    </x:row>
    <x:row r="78">
      <x:c r="K78" s="18"/>
      <x:c r="L78" s="18"/>
      <x:c r="M78" s="18"/>
    </x:row>
    <x:row r="79">
      <x:c r="K79" s="18"/>
      <x:c r="L79" s="18"/>
      <x:c r="M79" s="18"/>
    </x:row>
    <x:row r="80">
      <x:c r="K80" s="18"/>
      <x:c r="L80" s="18"/>
      <x:c r="M80" s="18"/>
    </x:row>
    <x:row r="81">
      <x:c r="K81" s="18"/>
      <x:c r="L81" s="18"/>
      <x:c r="M81" s="18"/>
    </x:row>
    <x:row r="82">
      <x:c r="K82" s="18"/>
      <x:c r="L82" s="18"/>
      <x:c r="M82" s="18"/>
    </x:row>
    <x:row r="83">
      <x:c r="K83" s="18"/>
      <x:c r="L83" s="18"/>
      <x:c r="M83" s="18"/>
    </x:row>
    <x:row r="84">
      <x:c r="K84" s="18"/>
      <x:c r="L84" s="18"/>
      <x:c r="M84" s="18"/>
    </x:row>
    <x:row r="85">
      <x:c r="K85" s="18"/>
      <x:c r="L85" s="18"/>
      <x:c r="M85" s="18"/>
    </x:row>
    <x:row r="86">
      <x:c r="K86" s="18"/>
      <x:c r="L86" s="18"/>
      <x:c r="M86" s="18"/>
    </x:row>
    <x:row r="87">
      <x:c r="K87" s="18"/>
      <x:c r="L87" s="18"/>
      <x:c r="M87" s="18"/>
    </x:row>
    <x:row r="88">
      <x:c r="K88" s="18"/>
      <x:c r="L88" s="18"/>
      <x:c r="M88" s="18"/>
    </x:row>
    <x:row r="89">
      <x:c r="K89" s="18"/>
      <x:c r="L89" s="18"/>
      <x:c r="M89" s="18"/>
    </x:row>
    <x:row r="90">
      <x:c r="K90" s="18"/>
      <x:c r="L90" s="18"/>
      <x:c r="M90" s="18"/>
    </x:row>
    <x:row r="91">
      <x:c r="K91" s="18"/>
      <x:c r="L91" s="18"/>
      <x:c r="M91" s="18"/>
    </x:row>
    <x:row r="92">
      <x:c r="K92" s="18"/>
      <x:c r="L92" s="18"/>
      <x:c r="M92" s="18"/>
    </x:row>
    <x:row r="93">
      <x:c r="K93" s="18"/>
      <x:c r="L93" s="18"/>
      <x:c r="M93" s="18"/>
    </x:row>
    <x:row r="94">
      <x:c r="K94" s="18"/>
      <x:c r="L94" s="18"/>
      <x:c r="M94" s="18"/>
    </x:row>
    <x:row r="95">
      <x:c r="K95" s="18"/>
      <x:c r="L95" s="18"/>
      <x:c r="M95" s="18"/>
    </x:row>
    <x:row r="96">
      <x:c r="K96" s="18"/>
      <x:c r="L96" s="18"/>
      <x:c r="M96" s="18"/>
    </x:row>
    <x:row r="97">
      <x:c r="K97" s="18"/>
      <x:c r="L97" s="18"/>
      <x:c r="M97" s="18"/>
    </x:row>
    <x:row r="98">
      <x:c r="K98" s="18"/>
      <x:c r="L98" s="18"/>
      <x:c r="M98" s="18"/>
    </x:row>
    <x:row r="99">
      <x:c r="K99" s="18"/>
      <x:c r="L99" s="18"/>
      <x:c r="M99" s="18"/>
    </x:row>
    <x:row r="100">
      <x:c r="K100" s="18"/>
      <x:c r="L100" s="18"/>
      <x:c r="M100" s="18"/>
    </x:row>
    <x:row r="101">
      <x:c r="K101" s="18"/>
      <x:c r="L101" s="18"/>
      <x:c r="M101" s="18"/>
    </x:row>
    <x:row r="102">
      <x:c r="K102" s="18"/>
      <x:c r="L102" s="18"/>
      <x:c r="M102" s="18"/>
    </x:row>
    <x:row r="103">
      <x:c r="K103" s="18"/>
      <x:c r="L103" s="18"/>
      <x:c r="M103" s="18"/>
    </x:row>
    <x:row r="104">
      <x:c r="K104" s="18"/>
      <x:c r="L104" s="18"/>
      <x:c r="M104" s="18"/>
    </x:row>
    <x:row r="105">
      <x:c r="K105" s="18"/>
      <x:c r="L105" s="18"/>
      <x:c r="M105" s="18"/>
    </x:row>
    <x:row r="106">
      <x:c r="K106" s="18"/>
      <x:c r="L106" s="18"/>
      <x:c r="M106" s="18"/>
    </x:row>
    <x:row r="107">
      <x:c r="K107" s="18"/>
      <x:c r="L107" s="18"/>
      <x:c r="M107" s="18"/>
    </x:row>
    <x:row r="108">
      <x:c r="K108" s="18"/>
      <x:c r="L108" s="18"/>
      <x:c r="M108" s="18"/>
    </x:row>
    <x:row r="109">
      <x:c r="K109" s="18"/>
      <x:c r="L109" s="18"/>
      <x:c r="M109" s="18"/>
    </x:row>
    <x:row r="110">
      <x:c r="K110" s="18"/>
      <x:c r="L110" s="18"/>
      <x:c r="M110" s="18"/>
    </x:row>
    <x:row r="111">
      <x:c r="K111" s="18"/>
      <x:c r="L111" s="18"/>
      <x:c r="M111" s="18"/>
    </x:row>
    <x:row r="112">
      <x:c r="K112" s="18"/>
      <x:c r="L112" s="18"/>
      <x:c r="M112" s="18"/>
    </x:row>
    <x:row r="113">
      <x:c r="K113" s="18"/>
      <x:c r="L113" s="18"/>
      <x:c r="M113" s="18"/>
    </x:row>
    <x:row r="114">
      <x:c r="K114" s="18"/>
      <x:c r="L114" s="18"/>
      <x:c r="M114" s="18"/>
    </x:row>
    <x:row r="115">
      <x:c r="K115" s="18"/>
      <x:c r="L115" s="18"/>
      <x:c r="M115" s="18"/>
    </x:row>
    <x:row r="116">
      <x:c r="K116" s="18"/>
      <x:c r="L116" s="18"/>
      <x:c r="M116" s="18"/>
    </x:row>
    <x:row r="117">
      <x:c r="K117" s="18"/>
      <x:c r="L117" s="18"/>
      <x:c r="M117" s="18"/>
    </x:row>
    <x:row r="118">
      <x:c r="K118" s="18"/>
      <x:c r="L118" s="18"/>
      <x:c r="M118" s="18"/>
    </x:row>
    <x:row r="119">
      <x:c r="K119" s="18"/>
      <x:c r="L119" s="18"/>
      <x:c r="M119" s="18"/>
    </x:row>
    <x:row r="120">
      <x:c r="K120" s="18"/>
      <x:c r="L120" s="18"/>
      <x:c r="M120" s="18"/>
    </x:row>
    <x:row r="121">
      <x:c r="K121" s="18"/>
      <x:c r="L121" s="18"/>
      <x:c r="M121" s="18"/>
    </x:row>
    <x:row r="122">
      <x:c r="K122" s="18"/>
      <x:c r="L122" s="18"/>
      <x:c r="M122" s="18"/>
    </x:row>
    <x:row r="123">
      <x:c r="K123" s="18"/>
      <x:c r="L123" s="18"/>
      <x:c r="M123" s="18"/>
    </x:row>
    <x:row r="124">
      <x:c r="K124" s="18"/>
      <x:c r="L124" s="18"/>
      <x:c r="M124" s="18"/>
    </x:row>
    <x:row r="125">
      <x:c r="K125" s="18"/>
      <x:c r="L125" s="18"/>
      <x:c r="M125" s="18"/>
    </x:row>
    <x:row r="126">
      <x:c r="K126" s="18"/>
      <x:c r="L126" s="18"/>
      <x:c r="M126" s="18"/>
    </x:row>
    <x:row r="127">
      <x:c r="K127" s="18"/>
      <x:c r="L127" s="18"/>
      <x:c r="M127" s="18"/>
    </x:row>
    <x:row r="128">
      <x:c r="K128" s="18"/>
      <x:c r="L128" s="18"/>
      <x:c r="M128" s="18"/>
    </x:row>
    <x:row r="129">
      <x:c r="K129" s="18"/>
      <x:c r="L129" s="18"/>
      <x:c r="M129" s="18"/>
    </x:row>
    <x:row r="130">
      <x:c r="K130" s="18"/>
      <x:c r="L130" s="18"/>
      <x:c r="M130" s="18"/>
    </x:row>
    <x:row r="131">
      <x:c r="K131" s="18"/>
      <x:c r="L131" s="18"/>
      <x:c r="M131" s="18"/>
    </x:row>
    <x:row r="132">
      <x:c r="K132" s="18"/>
      <x:c r="L132" s="18"/>
      <x:c r="M132" s="18"/>
    </x:row>
    <x:row r="133">
      <x:c r="K133" s="18"/>
      <x:c r="L133" s="18"/>
      <x:c r="M133" s="18"/>
    </x:row>
    <x:row r="134">
      <x:c r="K134" s="18"/>
      <x:c r="L134" s="18"/>
      <x:c r="M134" s="18"/>
    </x:row>
    <x:row r="135">
      <x:c r="K135" s="18"/>
      <x:c r="L135" s="18"/>
      <x:c r="M135" s="18"/>
    </x:row>
    <x:row r="136">
      <x:c r="K136" s="18"/>
      <x:c r="L136" s="18"/>
      <x:c r="M136" s="18"/>
    </x:row>
    <x:row r="137">
      <x:c r="K137" s="18"/>
      <x:c r="L137" s="18"/>
      <x:c r="M137" s="18"/>
    </x:row>
    <x:row r="138">
      <x:c r="K138" s="18"/>
      <x:c r="L138" s="18"/>
      <x:c r="M138" s="18"/>
    </x:row>
    <x:row r="139">
      <x:c r="K139" s="18"/>
      <x:c r="L139" s="18"/>
      <x:c r="M139" s="18"/>
    </x:row>
    <x:row r="140">
      <x:c r="K140" s="18"/>
      <x:c r="L140" s="18"/>
      <x:c r="M140" s="18"/>
    </x:row>
    <x:row r="141">
      <x:c r="K141" s="18"/>
      <x:c r="L141" s="18"/>
      <x:c r="M141" s="18"/>
    </x:row>
    <x:row r="142">
      <x:c r="K142" s="18"/>
      <x:c r="L142" s="18"/>
      <x:c r="M142" s="18"/>
    </x:row>
    <x:row r="143">
      <x:c r="K143" s="18"/>
      <x:c r="L143" s="18"/>
      <x:c r="M143" s="18"/>
    </x:row>
    <x:row r="144">
      <x:c r="K144" s="18"/>
      <x:c r="L144" s="18"/>
      <x:c r="M144" s="18"/>
    </x:row>
    <x:row r="145">
      <x:c r="K145" s="18"/>
      <x:c r="L145" s="18"/>
      <x:c r="M145" s="18"/>
    </x:row>
    <x:row r="146">
      <x:c r="K146" s="18"/>
      <x:c r="L146" s="18"/>
      <x:c r="M146" s="18"/>
    </x:row>
    <x:row r="147">
      <x:c r="K147" s="18"/>
      <x:c r="L147" s="18"/>
      <x:c r="M147" s="18"/>
    </x:row>
    <x:row r="148">
      <x:c r="K148" s="18"/>
      <x:c r="L148" s="18"/>
      <x:c r="M148" s="18"/>
    </x:row>
    <x:row r="149">
      <x:c r="K149" s="18"/>
      <x:c r="L149" s="18"/>
      <x:c r="M149" s="18"/>
    </x:row>
    <x:row r="150">
      <x:c r="K150" s="18"/>
      <x:c r="L150" s="18"/>
      <x:c r="M150" s="18"/>
    </x:row>
    <x:row r="151">
      <x:c r="K151" s="18"/>
      <x:c r="L151" s="18"/>
      <x:c r="M151" s="18"/>
    </x:row>
    <x:row r="152">
      <x:c r="K152" s="18"/>
      <x:c r="L152" s="18"/>
      <x:c r="M152" s="18"/>
    </x:row>
    <x:row r="153">
      <x:c r="K153" s="18"/>
      <x:c r="L153" s="18"/>
      <x:c r="M153" s="18"/>
    </x:row>
    <x:row r="154">
      <x:c r="K154" s="18"/>
      <x:c r="L154" s="18"/>
      <x:c r="M154" s="18"/>
    </x:row>
    <x:row r="155">
      <x:c r="K155" s="18"/>
      <x:c r="L155" s="18"/>
      <x:c r="M155" s="18"/>
    </x:row>
    <x:row r="156">
      <x:c r="K156" s="18"/>
      <x:c r="L156" s="18"/>
      <x:c r="M156" s="18"/>
    </x:row>
    <x:row r="157">
      <x:c r="K157" s="18"/>
      <x:c r="L157" s="18"/>
      <x:c r="M157" s="18"/>
    </x:row>
    <x:row r="158">
      <x:c r="K158" s="18"/>
      <x:c r="L158" s="18"/>
      <x:c r="M158" s="18"/>
    </x:row>
    <x:row r="159">
      <x:c r="K159" s="18"/>
      <x:c r="L159" s="18"/>
      <x:c r="M159" s="18"/>
    </x:row>
    <x:row r="160">
      <x:c r="K160" s="18"/>
      <x:c r="L160" s="18"/>
      <x:c r="M160" s="18"/>
    </x:row>
    <x:row r="161">
      <x:c r="K161" s="18"/>
      <x:c r="L161" s="18"/>
      <x:c r="M161" s="18"/>
    </x:row>
    <x:row r="162">
      <x:c r="K162" s="18"/>
      <x:c r="L162" s="18"/>
      <x:c r="M162" s="18"/>
    </x:row>
    <x:row r="163">
      <x:c r="K163" s="18"/>
      <x:c r="L163" s="18"/>
      <x:c r="M163" s="18"/>
    </x:row>
    <x:row r="164">
      <x:c r="K164" s="18"/>
      <x:c r="L164" s="18"/>
      <x:c r="M164" s="18"/>
    </x:row>
    <x:row r="165">
      <x:c r="K165" s="18"/>
      <x:c r="L165" s="18"/>
      <x:c r="M165" s="18"/>
    </x:row>
    <x:row r="166">
      <x:c r="K166" s="18"/>
      <x:c r="L166" s="18"/>
      <x:c r="M166" s="18"/>
    </x:row>
    <x:row r="167">
      <x:c r="K167" s="18"/>
      <x:c r="L167" s="18"/>
      <x:c r="M167" s="18"/>
    </x:row>
    <x:row r="168">
      <x:c r="K168" s="18"/>
      <x:c r="L168" s="18"/>
      <x:c r="M168" s="18"/>
    </x:row>
    <x:row r="169">
      <x:c r="K169" s="18"/>
      <x:c r="L169" s="18"/>
      <x:c r="M169" s="18"/>
    </x:row>
    <x:row r="170">
      <x:c r="K170" s="18"/>
      <x:c r="L170" s="18"/>
      <x:c r="M170" s="18"/>
    </x:row>
    <x:row r="171">
      <x:c r="K171" s="18"/>
      <x:c r="L171" s="18"/>
      <x:c r="M171" s="18"/>
    </x:row>
    <x:row r="172">
      <x:c r="K172" s="18"/>
      <x:c r="L172" s="18"/>
      <x:c r="M172" s="18"/>
    </x:row>
    <x:row r="173">
      <x:c r="K173" s="18"/>
      <x:c r="L173" s="18"/>
      <x:c r="M173" s="18"/>
    </x:row>
    <x:row r="174">
      <x:c r="K174" s="18"/>
      <x:c r="L174" s="18"/>
      <x:c r="M174" s="18"/>
    </x:row>
    <x:row r="175">
      <x:c r="K175" s="18"/>
      <x:c r="L175" s="18"/>
      <x:c r="M175" s="18"/>
    </x:row>
    <x:row r="176">
      <x:c r="K176" s="18"/>
      <x:c r="L176" s="18"/>
      <x:c r="M176" s="18"/>
    </x:row>
    <x:row r="177">
      <x:c r="K177" s="18"/>
      <x:c r="L177" s="18"/>
      <x:c r="M177" s="18"/>
    </x:row>
    <x:row r="178">
      <x:c r="K178" s="18"/>
      <x:c r="L178" s="18"/>
      <x:c r="M178" s="18"/>
    </x:row>
    <x:row r="179">
      <x:c r="K179" s="18"/>
      <x:c r="L179" s="18"/>
      <x:c r="M179" s="18"/>
    </x:row>
    <x:row r="180">
      <x:c r="K180" s="18"/>
      <x:c r="L180" s="18"/>
      <x:c r="M180" s="18"/>
    </x:row>
    <x:row r="181">
      <x:c r="K181" s="18"/>
      <x:c r="L181" s="18"/>
      <x:c r="M181" s="18"/>
    </x:row>
    <x:row r="182">
      <x:c r="K182" s="18"/>
      <x:c r="L182" s="18"/>
      <x:c r="M182" s="18"/>
    </x:row>
    <x:row r="183">
      <x:c r="K183" s="18"/>
      <x:c r="L183" s="18"/>
      <x:c r="M183" s="18"/>
    </x:row>
    <x:row r="184">
      <x:c r="K184" s="18"/>
      <x:c r="L184" s="18"/>
      <x:c r="M184" s="18"/>
    </x:row>
    <x:row r="185">
      <x:c r="K185" s="18"/>
      <x:c r="L185" s="18"/>
      <x:c r="M185" s="18"/>
    </x:row>
    <x:row r="186">
      <x:c r="K186" s="18"/>
      <x:c r="L186" s="18"/>
      <x:c r="M186" s="18"/>
    </x:row>
    <x:row r="187">
      <x:c r="K187" s="18"/>
      <x:c r="L187" s="18"/>
      <x:c r="M187" s="18"/>
    </x:row>
    <x:row r="188">
      <x:c r="K188" s="18"/>
      <x:c r="L188" s="18"/>
      <x:c r="M188" s="18"/>
    </x:row>
    <x:row r="189">
      <x:c r="K189" s="18"/>
      <x:c r="L189" s="18"/>
      <x:c r="M189" s="18"/>
    </x:row>
    <x:row r="190">
      <x:c r="K190" s="18"/>
      <x:c r="L190" s="18"/>
      <x:c r="M190" s="18"/>
    </x:row>
    <x:row r="191">
      <x:c r="K191" s="18"/>
      <x:c r="L191" s="18"/>
      <x:c r="M191" s="18"/>
    </x:row>
    <x:row r="192">
      <x:c r="K192" s="18"/>
      <x:c r="L192" s="18"/>
      <x:c r="M192" s="18"/>
    </x:row>
    <x:row r="193">
      <x:c r="K193" s="18"/>
      <x:c r="L193" s="18"/>
      <x:c r="M193" s="18"/>
    </x:row>
    <x:row r="194">
      <x:c r="K194" s="18"/>
      <x:c r="L194" s="18"/>
      <x:c r="M194" s="18"/>
    </x:row>
    <x:row r="195">
      <x:c r="K195" s="18"/>
      <x:c r="L195" s="18"/>
      <x:c r="M195" s="18"/>
    </x:row>
    <x:row r="196">
      <x:c r="K196" s="18"/>
      <x:c r="L196" s="18"/>
      <x:c r="M196" s="18"/>
    </x:row>
    <x:row r="197">
      <x:c r="K197" s="18"/>
      <x:c r="L197" s="18"/>
      <x:c r="M197" s="18"/>
    </x:row>
    <x:row r="198">
      <x:c r="K198" s="18"/>
      <x:c r="L198" s="18"/>
      <x:c r="M198" s="18"/>
    </x:row>
    <x:row r="199">
      <x:c r="K199" s="18"/>
      <x:c r="L199" s="18"/>
      <x:c r="M199" s="18"/>
    </x:row>
    <x:row r="200">
      <x:c r="K200" s="18"/>
      <x:c r="L200" s="18"/>
      <x:c r="M200" s="18"/>
    </x:row>
    <x:row r="201">
      <x:c r="K201" s="18"/>
      <x:c r="L201" s="18"/>
      <x:c r="M201" s="18"/>
    </x:row>
    <x:row r="202">
      <x:c r="K202" s="18"/>
      <x:c r="L202" s="18"/>
      <x:c r="M202" s="18"/>
    </x:row>
    <x:row r="203">
      <x:c r="K203" s="18"/>
      <x:c r="L203" s="18"/>
      <x:c r="M203" s="18"/>
    </x:row>
    <x:row r="204">
      <x:c r="K204" s="18"/>
      <x:c r="L204" s="18"/>
      <x:c r="M204" s="18"/>
    </x:row>
    <x:row r="205">
      <x:c r="K205" s="18"/>
      <x:c r="L205" s="18"/>
      <x:c r="M205" s="18"/>
    </x:row>
  </x:sheetData>
  <x:mergeCells>
    <x:mergeCell ref="A1:N1"/>
    <x:mergeCell ref="A2:N2"/>
    <x:mergeCell ref="A4:N4"/>
  </x:mergeCells>
  <x:conditionalFormatting sqref="K6:K205">
    <x:cfRule type="containsText" dxfId="12" priority="1" operator="containsText" text="OK"/>
    <x:cfRule type="containsText" dxfId="13" priority="2" operator="containsText" text="NG"/>
    <x:cfRule type="containsText" dxfId="14" priority="3" operator="containsText" text="保留"/>
    <x:cfRule type="containsText" dxfId="15" priority="4" operator="containsText" text="対象外"/>
  </x:conditionalFormatting>
  <x:dataValidations count="2">
    <x:dataValidation type="list" sqref="K6:K205">
      <x:formula1>"未実施,OK,NG,保留,対象外"</x:formula1>
    </x:dataValidation>
    <x:dataValidation type="list" sqref="B6:B205">
      <x:formula1>"P0,P1,P2,P3"</x:formula1>
    </x:dataValidation>
  </x:dataValidations>
  <x:pageMargins left="0.7" right="0.7" top="0.75" bottom="0.75" header="0.3" footer="0.3"/>
  <x:tableParts count="1">
    <x:tablePart xmlns:r="http://schemas.openxmlformats.org/officeDocument/2006/relationships" r:id="R3a4347fba0a5418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18" hidden="0" customWidth="1"/>
    <x:col min="4" max="4" width="34" hidden="0" customWidth="1"/>
    <x:col min="5" max="5" width="48" hidden="0" customWidth="1"/>
    <x:col min="6" max="6" width="52" hidden="0" customWidth="1"/>
    <x:col min="7" max="7" width="48" hidden="0" customWidth="1"/>
    <x:col min="8" max="8" width="52" hidden="0" customWidth="1"/>
    <x:col min="9" max="9" width="28" hidden="0" customWidth="1"/>
    <x:col min="10" max="10" width="26" hidden="0" customWidth="1"/>
    <x:col min="11" max="11" width="10" hidden="0" customWidth="1"/>
    <x:col min="12" max="12" width="20" hidden="0" customWidth="1"/>
    <x:col min="13" max="13" width="16" hidden="0" customWidth="1"/>
    <x:col min="14" max="14" width="34" hidden="0" customWidth="1"/>
  </x:cols>
  <x:sheetData>
    <x:row r="1" ht="30" customHeight="1">
      <x:c r="A1" s="3" t="str">
        <x:v>単価相違リスト原本保存チェックリスト</x:v>
      </x:c>
      <x:c r="B1" s="3"/>
      <x:c r="C1" s="3"/>
      <x:c r="D1" s="3"/>
      <x:c r="E1" s="3"/>
      <x:c r="F1" s="3"/>
      <x:c r="G1" s="3"/>
      <x:c r="H1" s="3"/>
      <x:c r="I1" s="3"/>
      <x:c r="J1" s="3"/>
      <x:c r="K1" s="3"/>
      <x:c r="L1" s="3"/>
      <x:c r="M1" s="3"/>
      <x:c r="N1" s="3"/>
    </x:row>
    <x:row r="2" ht="42" customHeight="1">
      <x:c r="A2" s="7" t="str">
        <x:v>K列に結果を記録し、L/M/N列に実データ・証跡を残す。JX受信済みのローカルデータを前提に、必要な行だけ実施してよい。</x:v>
      </x:c>
      <x:c r="B2" s="7"/>
      <x:c r="C2" s="7"/>
      <x:c r="D2" s="7"/>
      <x:c r="E2" s="7"/>
      <x:c r="F2" s="7"/>
      <x:c r="G2" s="7"/>
      <x:c r="H2" s="7"/>
      <x:c r="I2" s="7"/>
      <x:c r="J2" s="7"/>
      <x:c r="K2" s="7"/>
      <x:c r="L2" s="7"/>
      <x:c r="M2" s="7"/>
      <x:c r="N2" s="7"/>
    </x:row>
    <x:row r="4" ht="24" customHeight="1">
      <x:c r="A4" s="9" t="str">
        <x:v>ステータス: 未実施 / OK / NG / 保留 / 対象外</x:v>
      </x:c>
      <x:c r="B4" s="9"/>
      <x:c r="C4" s="9"/>
      <x:c r="D4" s="9"/>
      <x:c r="E4" s="9"/>
      <x:c r="F4" s="9"/>
      <x:c r="G4" s="9"/>
      <x:c r="H4" s="9"/>
      <x:c r="I4" s="9"/>
      <x:c r="J4" s="9"/>
      <x:c r="K4" s="9"/>
      <x:c r="L4" s="9"/>
      <x:c r="M4" s="9"/>
      <x:c r="N4" s="9"/>
    </x:row>
    <x:row r="5" ht="34" customHeight="1">
      <x:c r="A5" s="19" t="str">
        <x:v>No</x:v>
      </x:c>
      <x:c r="B5" s="19" t="str">
        <x:v>優先度</x:v>
      </x:c>
      <x:c r="C5" s="19" t="str">
        <x:v>テスト観点</x:v>
      </x:c>
      <x:c r="D5" s="19" t="str">
        <x:v>ケース</x:v>
      </x:c>
      <x:c r="E5" s="19" t="str">
        <x:v>事前条件/対象データ</x:v>
      </x:c>
      <x:c r="F5" s="19" t="str">
        <x:v>操作</x:v>
      </x:c>
      <x:c r="G5" s="19" t="str">
        <x:v>期待結果(UI)</x:v>
      </x:c>
      <x:c r="H5" s="19" t="str">
        <x:v>期待結果(DB)</x:v>
      </x:c>
      <x:c r="I5" s="19" t="str">
        <x:v>確認画面/SQL</x:v>
      </x:c>
      <x:c r="J5" s="19" t="str">
        <x:v>入力する実データ</x:v>
      </x:c>
      <x:c r="K5" s="19" t="str">
        <x:v>結果</x:v>
      </x:c>
      <x:c r="L5" s="19" t="str">
        <x:v>JXログID/伝票</x:v>
      </x:c>
      <x:c r="M5" s="19" t="str">
        <x:v>仕入キューID</x:v>
      </x:c>
      <x:c r="N5" s="19" t="str">
        <x:v>メモ</x:v>
      </x:c>
    </x:row>
    <x:row r="6" ht="70" customHeight="1">
      <x:c r="A6" s="20" t="str">
        <x:v>PM-001</x:v>
      </x:c>
      <x:c r="B6" s="20" t="str">
        <x:v>P0</x:v>
      </x:c>
      <x:c r="C6" s="21" t="str">
        <x:v>原本保存</x:v>
      </x:c>
      <x:c r="D6" s="21" t="str">
        <x:v>JX明細が入荷予定に紐づいた時点でprice_check_sourcesに保存される</x:v>
      </x:c>
      <x:c r="E6" s="21" t="str">
        <x:v>MATCHED/PARTIAL/SHORTAGEのdetailとmatched_schedule_idがある。</x:v>
      </x:c>
      <x:c r="F6" s="21" t="str">
        <x:v>対象ログを取り込み、SQLで確認する。</x:v>
      </x:c>
      <x:c r="G6" s="21" t="str">
        <x:v>WMS画面での表示は不要。</x:v>
      </x:c>
      <x:c r="H6" s="21" t="str">
        <x:v>wms_incoming_price_check_sources に incoming_schedule_id/received_detail_id が入る。</x:v>
      </x:c>
      <x:c r="I6" s="21" t="str">
        <x:v>SQL-06</x:v>
      </x:c>
      <x:c r="J6" s="21" t="str">
        <x:v>schedule_id/detail_id</x:v>
      </x:c>
      <x:c r="K6" s="20" t="str">
        <x:v>未実施</x:v>
      </x:c>
      <x:c r="L6" s="20" t="str"/>
      <x:c r="M6" s="20" t="str"/>
      <x:c r="N6" s="21" t="str"/>
    </x:row>
    <x:row r="7" ht="70" customHeight="1">
      <x:c r="A7" s="20" t="str">
        <x:v>PM-002</x:v>
      </x:c>
      <x:c r="B7" s="20" t="str">
        <x:v>P0</x:v>
      </x:c>
      <x:c r="C7" s="21" t="str">
        <x:v>重複防止</x:v>
      </x:c>
      <x:c r="D7" s="21" t="str">
        <x:v>同一原本行はsource_keyでupsertされ、重複登録されない</x:v>
      </x:c>
      <x:c r="E7" s="21" t="str">
        <x:v>同一message_id/raw_sha256/lineの再実行。</x:v>
      </x:c>
      <x:c r="F7" s="21" t="str">
        <x:v>対象ログを再処理する。</x:v>
      </x:c>
      <x:c r="G7" s="21" t="str">
        <x:v>表示上の件数は増えない。</x:v>
      </x:c>
      <x:c r="H7" s="21" t="str">
        <x:v>同一source_key count=1。updated_atのみ更新されうる。</x:v>
      </x:c>
      <x:c r="I7" s="21" t="str">
        <x:v>SQL-06, SQL-10</x:v>
      </x:c>
      <x:c r="J7" s="21" t="str">
        <x:v>source_key</x:v>
      </x:c>
      <x:c r="K7" s="20" t="str">
        <x:v>未実施</x:v>
      </x:c>
      <x:c r="L7" s="20" t="str"/>
      <x:c r="M7" s="20" t="str"/>
      <x:c r="N7" s="21" t="str"/>
    </x:row>
    <x:row r="8" ht="70" customHeight="1">
      <x:c r="A8" s="20" t="str">
        <x:v>PM-003</x:v>
      </x:c>
      <x:c r="B8" s="20" t="str">
        <x:v>P0</x:v>
      </x:c>
      <x:c r="C8" s="21" t="str">
        <x:v>送信単価</x:v>
      </x:c>
      <x:c r="D8" s="21" t="str">
        <x:v>送信JX原本の単価をsent_*として保存する</x:v>
      </x:c>
      <x:c r="E8" s="21" t="str">
        <x:v>送信JX documentが参照可能な伝票番号割当。</x:v>
      </x:c>
      <x:c r="F8" s="21" t="str">
        <x:v>取り込み後にprice_check_sourcesを確認する。</x:v>
      </x:c>
      <x:c r="G8" s="21" t="str">
        <x:v>sakemaru-ai-coreで送信単価を参照できる。</x:v>
      </x:c>
      <x:c r="H8" s="21" t="str">
        <x:v>sent_unit_price_raw、sent_unit_price、sent_candidate_unit_price、sent_payload.jx_d_record が入る。</x:v>
      </x:c>
      <x:c r="I8" s="21" t="str">
        <x:v>SQL-06</x:v>
      </x:c>
      <x:c r="J8" s="21" t="str">
        <x:v>wms_order_jx_document_id</x:v>
      </x:c>
      <x:c r="K8" s="20" t="str">
        <x:v>未実施</x:v>
      </x:c>
      <x:c r="L8" s="20" t="str"/>
      <x:c r="M8" s="20" t="str"/>
      <x:c r="N8" s="21" t="str"/>
    </x:row>
    <x:row r="9" ht="70" customHeight="1">
      <x:c r="A9" s="20" t="str">
        <x:v>PM-004</x:v>
      </x:c>
      <x:c r="B9" s="20" t="str">
        <x:v>P0</x:v>
      </x:c>
      <x:c r="C9" s="21" t="str">
        <x:v>受信単価</x:v>
      </x:c>
      <x:c r="D9" s="21" t="str">
        <x:v>受信Dレコードの原単価をreceived_*として保存する</x:v>
      </x:c>
      <x:c r="E9" s="21" t="str">
        <x:v>unit_price_rawがあるJX受信明細。</x:v>
      </x:c>
      <x:c r="F9" s="21" t="str">
        <x:v>取り込み後にprice_check_sourcesを確認する。</x:v>
      </x:c>
      <x:c r="G9" s="21" t="str">
        <x:v>受信単価が下2桁小数として読める。</x:v>
      </x:c>
      <x:c r="H9" s="21" t="str">
        <x:v>received_unit_price_raw=d_unit_price、received_unit_price=d_unit_price/100。</x:v>
      </x:c>
      <x:c r="I9" s="21" t="str">
        <x:v>SQL-06</x:v>
      </x:c>
      <x:c r="J9" s="21" t="str">
        <x:v>受信単価</x:v>
      </x:c>
      <x:c r="K9" s="20" t="str">
        <x:v>未実施</x:v>
      </x:c>
      <x:c r="L9" s="20" t="str"/>
      <x:c r="M9" s="20" t="str"/>
      <x:c r="N9" s="21" t="str"/>
    </x:row>
    <x:row r="10" ht="70" customHeight="1">
      <x:c r="A10" s="20" t="str">
        <x:v>PM-005</x:v>
      </x:c>
      <x:c r="B10" s="20" t="str">
        <x:v>P0</x:v>
      </x:c>
      <x:c r="C10" s="21" t="str">
        <x:v>マスタ単価</x:v>
      </x:c>
      <x:c r="D10" s="21" t="str">
        <x:v>入荷予定確定時点のマスタ単価を保存する</x:v>
      </x:c>
      <x:c r="E10" s="21" t="str">
        <x:v>scheduleにunit_price/case_priceがある。</x:v>
      </x:c>
      <x:c r="F10" s="21" t="str">
        <x:v>取り込み後にprice_check_sourcesを確認する。</x:v>
      </x:c>
      <x:c r="G10" s="21" t="str">
        <x:v>後日のマスタ変更に影響されず当時値が残る。</x:v>
      </x:c>
      <x:c r="H10" s="21" t="str">
        <x:v>master_unit_price、master_case_price、schedule_payload.unit_price/case_price が入る。</x:v>
      </x:c>
      <x:c r="I10" s="21" t="str">
        <x:v>SQL-06</x:v>
      </x:c>
      <x:c r="J10" s="21" t="str">
        <x:v>schedule_id</x:v>
      </x:c>
      <x:c r="K10" s="20" t="str">
        <x:v>未実施</x:v>
      </x:c>
      <x:c r="L10" s="20" t="str"/>
      <x:c r="M10" s="20" t="str"/>
      <x:c r="N10" s="21" t="str"/>
    </x:row>
    <x:row r="11" ht="70" customHeight="1">
      <x:c r="A11" s="20" t="str">
        <x:v>PM-006</x:v>
      </x:c>
      <x:c r="B11" s="20" t="str">
        <x:v>P0</x:v>
      </x:c>
      <x:c r="C11" s="21" t="str">
        <x:v>比較単価</x:v>
      </x:c>
      <x:c r="D11" s="21" t="str">
        <x:v>比較対象単価と差額を保存する</x:v>
      </x:c>
      <x:c r="E11" s="21" t="str">
        <x:v>ケース単価またはバラ単価の比較対象が決まる明細。</x:v>
      </x:c>
      <x:c r="F11" s="21" t="str">
        <x:v>取り込み後にprice_check_sourcesを確認する。</x:v>
      </x:c>
      <x:c r="G11" s="21" t="str">
        <x:v>差額が判断できる。</x:v>
      </x:c>
      <x:c r="H11" s="21" t="str">
        <x:v>comparison_price_type、comparison_master_price、comparison_received_price、comparison_price_diff が入る。</x:v>
      </x:c>
      <x:c r="I11" s="21" t="str">
        <x:v>SQL-06</x:v>
      </x:c>
      <x:c r="J11" s="21" t="str">
        <x:v>source_key</x:v>
      </x:c>
      <x:c r="K11" s="20" t="str">
        <x:v>未実施</x:v>
      </x:c>
      <x:c r="L11" s="20" t="str"/>
      <x:c r="M11" s="20" t="str"/>
      <x:c r="N11" s="21" t="str"/>
    </x:row>
    <x:row r="12" ht="70" customHeight="1">
      <x:c r="A12" s="20" t="str">
        <x:v>PM-007</x:v>
      </x:c>
      <x:c r="B12" s="20" t="str">
        <x:v>P0</x:v>
      </x:c>
      <x:c r="C12" s="21" t="str">
        <x:v>不一致フラグ</x:v>
      </x:c>
      <x:c r="D12" s="21" t="str">
        <x:v>差額がある場合current_price_mismatch=1になる</x:v>
      </x:c>
      <x:c r="E12" s="21" t="str">
        <x:v>master priceとpartner/received priceが異なる明細。</x:v>
      </x:c>
      <x:c r="F12" s="21" t="str">
        <x:v>取り込み後にprice_check_sourcesを確認する。</x:v>
      </x:c>
      <x:c r="G12" s="21" t="str">
        <x:v>sakemaru-ai-core側の日次差分対象になる。</x:v>
      </x:c>
      <x:c r="H12" s="21" t="str">
        <x:v>current_price_mismatch=1。ただし除外行はfalse。</x:v>
      </x:c>
      <x:c r="I12" s="21" t="str">
        <x:v>SQL-06</x:v>
      </x:c>
      <x:c r="J12" s="21" t="str">
        <x:v>差額明細</x:v>
      </x:c>
      <x:c r="K12" s="20" t="str">
        <x:v>未実施</x:v>
      </x:c>
      <x:c r="L12" s="20" t="str"/>
      <x:c r="M12" s="20" t="str"/>
      <x:c r="N12" s="21" t="str"/>
    </x:row>
    <x:row r="13" ht="70" customHeight="1">
      <x:c r="A13" s="20" t="str">
        <x:v>PM-008</x:v>
      </x:c>
      <x:c r="B13" s="20" t="str">
        <x:v>P1</x:v>
      </x:c>
      <x:c r="C13" s="21" t="str">
        <x:v>送料除外</x:v>
      </x:c>
      <x:c r="D13" s="21" t="str">
        <x:v>送料JANは単価チェック対象外になる</x:v>
      </x:c>
      <x:c r="E13" s="21" t="str">
        <x:v>JAN=9999999999996の明細。</x:v>
      </x:c>
      <x:c r="F13" s="21" t="str">
        <x:v>取り込み後にprice_check_sourcesを確認する。</x:v>
      </x:c>
      <x:c r="G13" s="21" t="str">
        <x:v>不一致リスト対象から除外できる。</x:v>
      </x:c>
      <x:c r="H13" s="21" t="str">
        <x:v>is_price_check_excluded=1、price_check_excluded_reason=SHIPPING_LINE、current_price_mismatch=0。</x:v>
      </x:c>
      <x:c r="I13" s="21" t="str">
        <x:v>SQL-06</x:v>
      </x:c>
      <x:c r="J13" s="21" t="str">
        <x:v>送料明細</x:v>
      </x:c>
      <x:c r="K13" s="20" t="str">
        <x:v>未実施</x:v>
      </x:c>
      <x:c r="L13" s="20" t="str"/>
      <x:c r="M13" s="20" t="str"/>
      <x:c r="N13" s="21" t="str"/>
    </x:row>
    <x:row r="14" ht="70" customHeight="1">
      <x:c r="A14" s="20" t="str">
        <x:v>PM-009</x:v>
      </x:c>
      <x:c r="B14" s="20" t="str">
        <x:v>P0</x:v>
      </x:c>
      <x:c r="C14" s="21" t="str">
        <x:v>ケース単価</x:v>
      </x:c>
      <x:c r="D14" s="21" t="str">
        <x:v>ケース受信はpartner_case_priceとmaster_case_priceで比較する</x:v>
      </x:c>
      <x:c r="E14" s="21" t="str">
        <x:v>Dレコードcase_quantity&gt;0。</x:v>
      </x:c>
      <x:c r="F14" s="21" t="str">
        <x:v>対象ログを取り込む。</x:v>
      </x:c>
      <x:c r="G14" s="21" t="str">
        <x:v>ケース単価として比較される。</x:v>
      </x:c>
      <x:c r="H14" s="21" t="str">
        <x:v>price_type=CASE、comparison_price_type=CASE、comparison_master_price=case_price。</x:v>
      </x:c>
      <x:c r="I14" s="21" t="str">
        <x:v>SQL-03, SQL-06</x:v>
      </x:c>
      <x:c r="J14" s="21" t="str">
        <x:v>CASE明細</x:v>
      </x:c>
      <x:c r="K14" s="20" t="str">
        <x:v>未実施</x:v>
      </x:c>
      <x:c r="L14" s="20" t="str"/>
      <x:c r="M14" s="20" t="str"/>
      <x:c r="N14" s="21" t="str"/>
    </x:row>
    <x:row r="15" ht="70" customHeight="1">
      <x:c r="A15" s="20" t="str">
        <x:v>PM-010</x:v>
      </x:c>
      <x:c r="B15" s="20" t="str">
        <x:v>P0</x:v>
      </x:c>
      <x:c r="C15" s="21" t="str">
        <x:v>バラ単価</x:v>
      </x:c>
      <x:c r="D15" s="21" t="str">
        <x:v>バラ受信はpartner_unit_priceとmaster_unit_priceで比較する</x:v>
      </x:c>
      <x:c r="E15" s="21" t="str">
        <x:v>Dレコードcase_quantity=0、piece_quantity&gt;0。</x:v>
      </x:c>
      <x:c r="F15" s="21" t="str">
        <x:v>対象ログを取り込む。</x:v>
      </x:c>
      <x:c r="G15" s="21" t="str">
        <x:v>バラ単価として比較される。</x:v>
      </x:c>
      <x:c r="H15" s="21" t="str">
        <x:v>price_type=PIECE、comparison_price_type=PIECE、comparison_master_price=unit_price。</x:v>
      </x:c>
      <x:c r="I15" s="21" t="str">
        <x:v>SQL-03, SQL-06</x:v>
      </x:c>
      <x:c r="J15" s="21" t="str">
        <x:v>PIECE明細</x:v>
      </x:c>
      <x:c r="K15" s="20" t="str">
        <x:v>未実施</x:v>
      </x:c>
      <x:c r="L15" s="20" t="str"/>
      <x:c r="M15" s="20" t="str"/>
      <x:c r="N15" s="21" t="str"/>
    </x:row>
    <x:row r="16" ht="70" customHeight="1">
      <x:c r="A16" s="20" t="str">
        <x:v>PM-011</x:v>
      </x:c>
      <x:c r="B16" s="20" t="str">
        <x:v>P0</x:v>
      </x:c>
      <x:c r="C16" s="21" t="str">
        <x:v>金額</x:v>
      </x:c>
      <x:c r="D16" s="21" t="str">
        <x:v>受信金額をprice_check_sources.received_amountに保存する</x:v>
      </x:c>
      <x:c r="E16" s="21" t="str">
        <x:v>wms_jx_eos_lines.amountが計算済み。</x:v>
      </x:c>
      <x:c r="F16" s="21" t="str">
        <x:v>取り込み後にprice_check_sourcesを確認する。</x:v>
      </x:c>
      <x:c r="G16" s="21" t="str">
        <x:v>Excel相当の金額検証に使える。</x:v>
      </x:c>
      <x:c r="H16" s="21" t="str">
        <x:v>received_amount がeos line amountまたはdetail.d_amountから入る。</x:v>
      </x:c>
      <x:c r="I16" s="21" t="str">
        <x:v>SQL-05, SQL-06</x:v>
      </x:c>
      <x:c r="J16" s="21" t="str">
        <x:v>amount対象明細</x:v>
      </x:c>
      <x:c r="K16" s="20" t="str">
        <x:v>未実施</x:v>
      </x:c>
      <x:c r="L16" s="20" t="str"/>
      <x:c r="M16" s="20" t="str"/>
      <x:c r="N16" s="21" t="str"/>
    </x:row>
    <x:row r="17" ht="70" customHeight="1">
      <x:c r="A17" s="20" t="str">
        <x:v>PM-012</x:v>
      </x:c>
      <x:c r="B17" s="20" t="str">
        <x:v>P0</x:v>
      </x:c>
      <x:c r="C17" s="21" t="str">
        <x:v>ペイロード</x:v>
      </x:c>
      <x:c r="D17" s="21" t="str">
        <x:v>ロジック変更に耐えられるよう原本payloadを保持する</x:v>
      </x:c>
      <x:c r="E17" s="21" t="str">
        <x:v>任意の一致明細。</x:v>
      </x:c>
      <x:c r="F17" s="21" t="str">
        <x:v>price_check_sourcesのJSON列を確認する。</x:v>
      </x:c>
      <x:c r="G17" s="21" t="str">
        <x:v>受信・予定・送信・EOS・計算の原本が残る。</x:v>
      </x:c>
      <x:c r="H17" s="21" t="str">
        <x:v>received_payload、schedule_payload、sent_payload、eos_payload、calculation_payload がnullでない。</x:v>
      </x:c>
      <x:c r="I17" s="21" t="str">
        <x:v>SQL-06</x:v>
      </x:c>
      <x:c r="J17" s="21" t="str">
        <x:v>source_key</x:v>
      </x:c>
      <x:c r="K17" s="20" t="str">
        <x:v>未実施</x:v>
      </x:c>
      <x:c r="L17" s="20" t="str"/>
      <x:c r="M17" s="20" t="str"/>
      <x:c r="N17" s="21" t="str"/>
    </x:row>
    <x:row r="18" ht="70" customHeight="1">
      <x:c r="A18" s="20" t="str">
        <x:v>PM-013</x:v>
      </x:c>
      <x:c r="B18" s="20" t="str">
        <x:v>P1</x:v>
      </x:c>
      <x:c r="C18" s="21" t="str">
        <x:v>日次確認</x:v>
      </x:c>
      <x:c r="D18" s="21" t="str">
        <x:v>日次差分確認に必要な検索キーがある</x:v>
      </x:c>
      <x:c r="E18" s="21" t="str">
        <x:v>price_check_sourcesに複数日分データ。</x:v>
      </x:c>
      <x:c r="F18" s="21" t="str">
        <x:v>recorded_at日付で検索する。</x:v>
      </x:c>
      <x:c r="G18" s="21" t="str">
        <x:v>当日分の不一致だけ抽出できる。</x:v>
      </x:c>
      <x:c r="H18" s="21" t="str">
        <x:v>recorded_at/current_price_mismatch、contractor_id/item_id、source_keyの索引で検索できる。</x:v>
      </x:c>
      <x:c r="I18" s="21" t="str">
        <x:v>SQL-06</x:v>
      </x:c>
      <x:c r="J18" s="21" t="str">
        <x:v>確認日</x:v>
      </x:c>
      <x:c r="K18" s="20" t="str">
        <x:v>未実施</x:v>
      </x:c>
      <x:c r="L18" s="20" t="str"/>
      <x:c r="M18" s="20" t="str"/>
      <x:c r="N18" s="21" t="str"/>
    </x:row>
    <x:row r="19" ht="70" customHeight="1">
      <x:c r="A19" s="20" t="str">
        <x:v>PM-014</x:v>
      </x:c>
      <x:c r="B19" s="20" t="str">
        <x:v>P1</x:v>
      </x:c>
      <x:c r="C19" s="21" t="str">
        <x:v>未照合</x:v>
      </x:c>
      <x:c r="D19" s="21" t="str">
        <x:v>未割当・商品不明などscheduleがない明細は原本保存対象外</x:v>
      </x:c>
      <x:c r="E19" s="21" t="str">
        <x:v>NO_ASSIGNMENT/NOT_FOUNDでmatched_schedule_idがない明細。</x:v>
      </x:c>
      <x:c r="F19" s="21" t="str">
        <x:v>取り込み後にprice_check_sourcesを確認する。</x:v>
      </x:c>
      <x:c r="G19" s="21" t="str">
        <x:v>照合できないものは未割当/エラー側で確認する。</x:v>
      </x:c>
      <x:c r="H19" s="21" t="str">
        <x:v>incoming_schedule_idなしのprice_check_sourcesが増えない。</x:v>
      </x:c>
      <x:c r="I19" s="21" t="str">
        <x:v>SQL-06, SQL-09</x:v>
      </x:c>
      <x:c r="J19" s="21" t="str">
        <x:v>未照合伝票</x:v>
      </x:c>
      <x:c r="K19" s="20" t="str">
        <x:v>未実施</x:v>
      </x:c>
      <x:c r="L19" s="20" t="str"/>
      <x:c r="M19" s="20" t="str"/>
      <x:c r="N19" s="21" t="str"/>
    </x:row>
    <x:row r="20" ht="70" customHeight="1">
      <x:c r="A20" s="20" t="str">
        <x:v>PM-015</x:v>
      </x:c>
      <x:c r="B20" s="20" t="str">
        <x:v>P0</x:v>
      </x:c>
      <x:c r="C20" s="21" t="str">
        <x:v>数量保存</x:v>
      </x:c>
      <x:c r="D20" s="21" t="str">
        <x:v>数量正規化後の総バラ・ケース・バラ情報を保存する</x:v>
      </x:c>
      <x:c r="E20" s="21" t="str">
        <x:v>6缶/4缶/通常ケースの明細。</x:v>
      </x:c>
      <x:c r="F20" s="21" t="str">
        <x:v>price_check_sourcesを確認する。</x:v>
      </x:c>
      <x:c r="G20" s="21" t="str">
        <x:v>sakemaru-ai-coreで入数考慮の再計算ができる。</x:v>
      </x:c>
      <x:c r="H20" s="21" t="str">
        <x:v>received_total_quantity、received_pack_quantity、received_case_quantity、received_piece_quantity、quantity_type、expected_quantity が入る。</x:v>
      </x:c>
      <x:c r="I20" s="21" t="str">
        <x:v>SQL-06</x:v>
      </x:c>
      <x:c r="J20" s="21" t="str">
        <x:v>数量パターン</x:v>
      </x:c>
      <x:c r="K20" s="20" t="str">
        <x:v>未実施</x:v>
      </x:c>
      <x:c r="L20" s="20" t="str"/>
      <x:c r="M20" s="20" t="str"/>
      <x:c r="N20" s="21" t="str"/>
    </x:row>
    <x:row r="21" ht="70" customHeight="1">
      <x:c r="A21" s="20" t="str">
        <x:v>PM-016</x:v>
      </x:c>
      <x:c r="B21" s="20" t="str">
        <x:v>P1</x:v>
      </x:c>
      <x:c r="C21" s="21" t="str">
        <x:v>Excel移行</x:v>
      </x:c>
      <x:c r="D21" s="21" t="str">
        <x:v>既存Excelの入数考慮・仕入調整考慮を再現できるだけの元データがある</x:v>
      </x:c>
      <x:c r="E21" s="21" t="str">
        <x:v>単価差がある明細。</x:v>
      </x:c>
      <x:c r="F21" s="21" t="str">
        <x:v>price_check_sourcesとマスタ/仕入調整情報の参照可否を確認する。</x:v>
      </x:c>
      <x:c r="G21" s="21" t="str">
        <x:v>不足カラムがあればsakemaru-ai-core実装前に洗い出せる。</x:v>
      </x:c>
      <x:c r="H21" s="21" t="str">
        <x:v>金額、総バラ、受信単価、マスタ単価、送信単価、仕入先、商品、伝票番号が揃う。仕入調整額はcore側追加参照前提。</x:v>
      </x:c>
      <x:c r="I21" s="21" t="str">
        <x:v>SQL-06</x:v>
      </x:c>
      <x:c r="J21" s="21" t="str">
        <x:v>単価差明細</x:v>
      </x:c>
      <x:c r="K21" s="20" t="str">
        <x:v>未実施</x:v>
      </x:c>
      <x:c r="L21" s="20" t="str"/>
      <x:c r="M21" s="20" t="str"/>
      <x:c r="N21" s="21" t="str"/>
    </x:row>
    <x:row r="22">
      <x:c r="K22" s="18"/>
      <x:c r="L22" s="18"/>
      <x:c r="M22" s="18"/>
    </x:row>
    <x:row r="23">
      <x:c r="K23" s="18"/>
      <x:c r="L23" s="18"/>
      <x:c r="M23" s="18"/>
    </x:row>
    <x:row r="24">
      <x:c r="K24" s="18"/>
      <x:c r="L24" s="18"/>
      <x:c r="M24" s="18"/>
    </x:row>
    <x:row r="25">
      <x:c r="K25" s="18"/>
      <x:c r="L25" s="18"/>
      <x:c r="M25" s="18"/>
    </x:row>
    <x:row r="26">
      <x:c r="K26" s="18"/>
      <x:c r="L26" s="18"/>
      <x:c r="M26" s="18"/>
    </x:row>
    <x:row r="27">
      <x:c r="K27" s="18"/>
      <x:c r="L27" s="18"/>
      <x:c r="M27" s="18"/>
    </x:row>
    <x:row r="28">
      <x:c r="K28" s="18"/>
      <x:c r="L28" s="18"/>
      <x:c r="M28" s="18"/>
    </x:row>
    <x:row r="29">
      <x:c r="K29" s="18"/>
      <x:c r="L29" s="18"/>
      <x:c r="M29" s="18"/>
    </x:row>
    <x:row r="30">
      <x:c r="K30" s="18"/>
      <x:c r="L30" s="18"/>
      <x:c r="M30" s="18"/>
    </x:row>
    <x:row r="31">
      <x:c r="K31" s="18"/>
      <x:c r="L31" s="18"/>
      <x:c r="M31" s="18"/>
    </x:row>
    <x:row r="32">
      <x:c r="K32" s="18"/>
      <x:c r="L32" s="18"/>
      <x:c r="M32" s="18"/>
    </x:row>
    <x:row r="33">
      <x:c r="K33" s="18"/>
      <x:c r="L33" s="18"/>
      <x:c r="M33" s="18"/>
    </x:row>
    <x:row r="34">
      <x:c r="K34" s="18"/>
      <x:c r="L34" s="18"/>
      <x:c r="M34" s="18"/>
    </x:row>
    <x:row r="35">
      <x:c r="K35" s="18"/>
      <x:c r="L35" s="18"/>
      <x:c r="M35" s="18"/>
    </x:row>
    <x:row r="36">
      <x:c r="K36" s="18"/>
      <x:c r="L36" s="18"/>
      <x:c r="M36" s="18"/>
    </x:row>
    <x:row r="37">
      <x:c r="K37" s="18"/>
      <x:c r="L37" s="18"/>
      <x:c r="M37" s="18"/>
    </x:row>
    <x:row r="38">
      <x:c r="K38" s="18"/>
      <x:c r="L38" s="18"/>
      <x:c r="M38" s="18"/>
    </x:row>
    <x:row r="39">
      <x:c r="K39" s="18"/>
      <x:c r="L39" s="18"/>
      <x:c r="M39" s="18"/>
    </x:row>
    <x:row r="40">
      <x:c r="K40" s="18"/>
      <x:c r="L40" s="18"/>
      <x:c r="M40" s="18"/>
    </x:row>
    <x:row r="41">
      <x:c r="K41" s="18"/>
      <x:c r="L41" s="18"/>
      <x:c r="M41" s="18"/>
    </x:row>
    <x:row r="42">
      <x:c r="K42" s="18"/>
      <x:c r="L42" s="18"/>
      <x:c r="M42" s="18"/>
    </x:row>
    <x:row r="43">
      <x:c r="K43" s="18"/>
      <x:c r="L43" s="18"/>
      <x:c r="M43" s="18"/>
    </x:row>
    <x:row r="44">
      <x:c r="K44" s="18"/>
      <x:c r="L44" s="18"/>
      <x:c r="M44" s="18"/>
    </x:row>
    <x:row r="45">
      <x:c r="K45" s="18"/>
      <x:c r="L45" s="18"/>
      <x:c r="M45" s="18"/>
    </x:row>
    <x:row r="46">
      <x:c r="K46" s="18"/>
      <x:c r="L46" s="18"/>
      <x:c r="M46" s="18"/>
    </x:row>
    <x:row r="47">
      <x:c r="K47" s="18"/>
      <x:c r="L47" s="18"/>
      <x:c r="M47" s="18"/>
    </x:row>
    <x:row r="48">
      <x:c r="K48" s="18"/>
      <x:c r="L48" s="18"/>
      <x:c r="M48" s="18"/>
    </x:row>
    <x:row r="49">
      <x:c r="K49" s="18"/>
      <x:c r="L49" s="18"/>
      <x:c r="M49" s="18"/>
    </x:row>
    <x:row r="50">
      <x:c r="K50" s="18"/>
      <x:c r="L50" s="18"/>
      <x:c r="M50" s="18"/>
    </x:row>
    <x:row r="51">
      <x:c r="K51" s="18"/>
      <x:c r="L51" s="18"/>
      <x:c r="M51" s="18"/>
    </x:row>
    <x:row r="52">
      <x:c r="K52" s="18"/>
      <x:c r="L52" s="18"/>
      <x:c r="M52" s="18"/>
    </x:row>
    <x:row r="53">
      <x:c r="K53" s="18"/>
      <x:c r="L53" s="18"/>
      <x:c r="M53" s="18"/>
    </x:row>
    <x:row r="54">
      <x:c r="K54" s="18"/>
      <x:c r="L54" s="18"/>
      <x:c r="M54" s="18"/>
    </x:row>
    <x:row r="55">
      <x:c r="K55" s="18"/>
      <x:c r="L55" s="18"/>
      <x:c r="M55" s="18"/>
    </x:row>
    <x:row r="56">
      <x:c r="K56" s="18"/>
      <x:c r="L56" s="18"/>
      <x:c r="M56" s="18"/>
    </x:row>
    <x:row r="57">
      <x:c r="K57" s="18"/>
      <x:c r="L57" s="18"/>
      <x:c r="M57" s="18"/>
    </x:row>
    <x:row r="58">
      <x:c r="K58" s="18"/>
      <x:c r="L58" s="18"/>
      <x:c r="M58" s="18"/>
    </x:row>
    <x:row r="59">
      <x:c r="K59" s="18"/>
      <x:c r="L59" s="18"/>
      <x:c r="M59" s="18"/>
    </x:row>
    <x:row r="60">
      <x:c r="K60" s="18"/>
      <x:c r="L60" s="18"/>
      <x:c r="M60" s="18"/>
    </x:row>
    <x:row r="61">
      <x:c r="K61" s="18"/>
      <x:c r="L61" s="18"/>
      <x:c r="M61" s="18"/>
    </x:row>
    <x:row r="62">
      <x:c r="K62" s="18"/>
      <x:c r="L62" s="18"/>
      <x:c r="M62" s="18"/>
    </x:row>
    <x:row r="63">
      <x:c r="K63" s="18"/>
      <x:c r="L63" s="18"/>
      <x:c r="M63" s="18"/>
    </x:row>
    <x:row r="64">
      <x:c r="K64" s="18"/>
      <x:c r="L64" s="18"/>
      <x:c r="M64" s="18"/>
    </x:row>
    <x:row r="65">
      <x:c r="K65" s="18"/>
      <x:c r="L65" s="18"/>
      <x:c r="M65" s="18"/>
    </x:row>
    <x:row r="66">
      <x:c r="K66" s="18"/>
      <x:c r="L66" s="18"/>
      <x:c r="M66" s="18"/>
    </x:row>
    <x:row r="67">
      <x:c r="K67" s="18"/>
      <x:c r="L67" s="18"/>
      <x:c r="M67" s="18"/>
    </x:row>
    <x:row r="68">
      <x:c r="K68" s="18"/>
      <x:c r="L68" s="18"/>
      <x:c r="M68" s="18"/>
    </x:row>
    <x:row r="69">
      <x:c r="K69" s="18"/>
      <x:c r="L69" s="18"/>
      <x:c r="M69" s="18"/>
    </x:row>
    <x:row r="70">
      <x:c r="K70" s="18"/>
      <x:c r="L70" s="18"/>
      <x:c r="M70" s="18"/>
    </x:row>
    <x:row r="71">
      <x:c r="K71" s="18"/>
      <x:c r="L71" s="18"/>
      <x:c r="M71" s="18"/>
    </x:row>
    <x:row r="72">
      <x:c r="K72" s="18"/>
      <x:c r="L72" s="18"/>
      <x:c r="M72" s="18"/>
    </x:row>
    <x:row r="73">
      <x:c r="K73" s="18"/>
      <x:c r="L73" s="18"/>
      <x:c r="M73" s="18"/>
    </x:row>
    <x:row r="74">
      <x:c r="K74" s="18"/>
      <x:c r="L74" s="18"/>
      <x:c r="M74" s="18"/>
    </x:row>
    <x:row r="75">
      <x:c r="K75" s="18"/>
      <x:c r="L75" s="18"/>
      <x:c r="M75" s="18"/>
    </x:row>
    <x:row r="76">
      <x:c r="K76" s="18"/>
      <x:c r="L76" s="18"/>
      <x:c r="M76" s="18"/>
    </x:row>
    <x:row r="77">
      <x:c r="K77" s="18"/>
      <x:c r="L77" s="18"/>
      <x:c r="M77" s="18"/>
    </x:row>
    <x:row r="78">
      <x:c r="K78" s="18"/>
      <x:c r="L78" s="18"/>
      <x:c r="M78" s="18"/>
    </x:row>
    <x:row r="79">
      <x:c r="K79" s="18"/>
      <x:c r="L79" s="18"/>
      <x:c r="M79" s="18"/>
    </x:row>
    <x:row r="80">
      <x:c r="K80" s="18"/>
      <x:c r="L80" s="18"/>
      <x:c r="M80" s="18"/>
    </x:row>
    <x:row r="81">
      <x:c r="K81" s="18"/>
      <x:c r="L81" s="18"/>
      <x:c r="M81" s="18"/>
    </x:row>
    <x:row r="82">
      <x:c r="K82" s="18"/>
      <x:c r="L82" s="18"/>
      <x:c r="M82" s="18"/>
    </x:row>
    <x:row r="83">
      <x:c r="K83" s="18"/>
      <x:c r="L83" s="18"/>
      <x:c r="M83" s="18"/>
    </x:row>
    <x:row r="84">
      <x:c r="K84" s="18"/>
      <x:c r="L84" s="18"/>
      <x:c r="M84" s="18"/>
    </x:row>
    <x:row r="85">
      <x:c r="K85" s="18"/>
      <x:c r="L85" s="18"/>
      <x:c r="M85" s="18"/>
    </x:row>
    <x:row r="86">
      <x:c r="K86" s="18"/>
      <x:c r="L86" s="18"/>
      <x:c r="M86" s="18"/>
    </x:row>
    <x:row r="87">
      <x:c r="K87" s="18"/>
      <x:c r="L87" s="18"/>
      <x:c r="M87" s="18"/>
    </x:row>
    <x:row r="88">
      <x:c r="K88" s="18"/>
      <x:c r="L88" s="18"/>
      <x:c r="M88" s="18"/>
    </x:row>
    <x:row r="89">
      <x:c r="K89" s="18"/>
      <x:c r="L89" s="18"/>
      <x:c r="M89" s="18"/>
    </x:row>
    <x:row r="90">
      <x:c r="K90" s="18"/>
      <x:c r="L90" s="18"/>
      <x:c r="M90" s="18"/>
    </x:row>
    <x:row r="91">
      <x:c r="K91" s="18"/>
      <x:c r="L91" s="18"/>
      <x:c r="M91" s="18"/>
    </x:row>
    <x:row r="92">
      <x:c r="K92" s="18"/>
      <x:c r="L92" s="18"/>
      <x:c r="M92" s="18"/>
    </x:row>
    <x:row r="93">
      <x:c r="K93" s="18"/>
      <x:c r="L93" s="18"/>
      <x:c r="M93" s="18"/>
    </x:row>
    <x:row r="94">
      <x:c r="K94" s="18"/>
      <x:c r="L94" s="18"/>
      <x:c r="M94" s="18"/>
    </x:row>
    <x:row r="95">
      <x:c r="K95" s="18"/>
      <x:c r="L95" s="18"/>
      <x:c r="M95" s="18"/>
    </x:row>
    <x:row r="96">
      <x:c r="K96" s="18"/>
      <x:c r="L96" s="18"/>
      <x:c r="M96" s="18"/>
    </x:row>
    <x:row r="97">
      <x:c r="K97" s="18"/>
      <x:c r="L97" s="18"/>
      <x:c r="M97" s="18"/>
    </x:row>
    <x:row r="98">
      <x:c r="K98" s="18"/>
      <x:c r="L98" s="18"/>
      <x:c r="M98" s="18"/>
    </x:row>
    <x:row r="99">
      <x:c r="K99" s="18"/>
      <x:c r="L99" s="18"/>
      <x:c r="M99" s="18"/>
    </x:row>
    <x:row r="100">
      <x:c r="K100" s="18"/>
      <x:c r="L100" s="18"/>
      <x:c r="M100" s="18"/>
    </x:row>
    <x:row r="101">
      <x:c r="K101" s="18"/>
      <x:c r="L101" s="18"/>
      <x:c r="M101" s="18"/>
    </x:row>
    <x:row r="102">
      <x:c r="K102" s="18"/>
      <x:c r="L102" s="18"/>
      <x:c r="M102" s="18"/>
    </x:row>
    <x:row r="103">
      <x:c r="K103" s="18"/>
      <x:c r="L103" s="18"/>
      <x:c r="M103" s="18"/>
    </x:row>
    <x:row r="104">
      <x:c r="K104" s="18"/>
      <x:c r="L104" s="18"/>
      <x:c r="M104" s="18"/>
    </x:row>
    <x:row r="105">
      <x:c r="K105" s="18"/>
      <x:c r="L105" s="18"/>
      <x:c r="M105" s="18"/>
    </x:row>
    <x:row r="106">
      <x:c r="K106" s="18"/>
      <x:c r="L106" s="18"/>
      <x:c r="M106" s="18"/>
    </x:row>
    <x:row r="107">
      <x:c r="K107" s="18"/>
      <x:c r="L107" s="18"/>
      <x:c r="M107" s="18"/>
    </x:row>
    <x:row r="108">
      <x:c r="K108" s="18"/>
      <x:c r="L108" s="18"/>
      <x:c r="M108" s="18"/>
    </x:row>
    <x:row r="109">
      <x:c r="K109" s="18"/>
      <x:c r="L109" s="18"/>
      <x:c r="M109" s="18"/>
    </x:row>
    <x:row r="110">
      <x:c r="K110" s="18"/>
      <x:c r="L110" s="18"/>
      <x:c r="M110" s="18"/>
    </x:row>
    <x:row r="111">
      <x:c r="K111" s="18"/>
      <x:c r="L111" s="18"/>
      <x:c r="M111" s="18"/>
    </x:row>
    <x:row r="112">
      <x:c r="K112" s="18"/>
      <x:c r="L112" s="18"/>
      <x:c r="M112" s="18"/>
    </x:row>
    <x:row r="113">
      <x:c r="K113" s="18"/>
      <x:c r="L113" s="18"/>
      <x:c r="M113" s="18"/>
    </x:row>
    <x:row r="114">
      <x:c r="K114" s="18"/>
      <x:c r="L114" s="18"/>
      <x:c r="M114" s="18"/>
    </x:row>
    <x:row r="115">
      <x:c r="K115" s="18"/>
      <x:c r="L115" s="18"/>
      <x:c r="M115" s="18"/>
    </x:row>
    <x:row r="116">
      <x:c r="K116" s="18"/>
      <x:c r="L116" s="18"/>
      <x:c r="M116" s="18"/>
    </x:row>
    <x:row r="117">
      <x:c r="K117" s="18"/>
      <x:c r="L117" s="18"/>
      <x:c r="M117" s="18"/>
    </x:row>
    <x:row r="118">
      <x:c r="K118" s="18"/>
      <x:c r="L118" s="18"/>
      <x:c r="M118" s="18"/>
    </x:row>
    <x:row r="119">
      <x:c r="K119" s="18"/>
      <x:c r="L119" s="18"/>
      <x:c r="M119" s="18"/>
    </x:row>
    <x:row r="120">
      <x:c r="K120" s="18"/>
      <x:c r="L120" s="18"/>
      <x:c r="M120" s="18"/>
    </x:row>
    <x:row r="121">
      <x:c r="K121" s="18"/>
      <x:c r="L121" s="18"/>
      <x:c r="M121" s="18"/>
    </x:row>
    <x:row r="122">
      <x:c r="K122" s="18"/>
      <x:c r="L122" s="18"/>
      <x:c r="M122" s="18"/>
    </x:row>
    <x:row r="123">
      <x:c r="K123" s="18"/>
      <x:c r="L123" s="18"/>
      <x:c r="M123" s="18"/>
    </x:row>
    <x:row r="124">
      <x:c r="K124" s="18"/>
      <x:c r="L124" s="18"/>
      <x:c r="M124" s="18"/>
    </x:row>
    <x:row r="125">
      <x:c r="K125" s="18"/>
      <x:c r="L125" s="18"/>
      <x:c r="M125" s="18"/>
    </x:row>
    <x:row r="126">
      <x:c r="K126" s="18"/>
      <x:c r="L126" s="18"/>
      <x:c r="M126" s="18"/>
    </x:row>
    <x:row r="127">
      <x:c r="K127" s="18"/>
      <x:c r="L127" s="18"/>
      <x:c r="M127" s="18"/>
    </x:row>
    <x:row r="128">
      <x:c r="K128" s="18"/>
      <x:c r="L128" s="18"/>
      <x:c r="M128" s="18"/>
    </x:row>
    <x:row r="129">
      <x:c r="K129" s="18"/>
      <x:c r="L129" s="18"/>
      <x:c r="M129" s="18"/>
    </x:row>
    <x:row r="130">
      <x:c r="K130" s="18"/>
      <x:c r="L130" s="18"/>
      <x:c r="M130" s="18"/>
    </x:row>
    <x:row r="131">
      <x:c r="K131" s="18"/>
      <x:c r="L131" s="18"/>
      <x:c r="M131" s="18"/>
    </x:row>
    <x:row r="132">
      <x:c r="K132" s="18"/>
      <x:c r="L132" s="18"/>
      <x:c r="M132" s="18"/>
    </x:row>
    <x:row r="133">
      <x:c r="K133" s="18"/>
      <x:c r="L133" s="18"/>
      <x:c r="M133" s="18"/>
    </x:row>
    <x:row r="134">
      <x:c r="K134" s="18"/>
      <x:c r="L134" s="18"/>
      <x:c r="M134" s="18"/>
    </x:row>
    <x:row r="135">
      <x:c r="K135" s="18"/>
      <x:c r="L135" s="18"/>
      <x:c r="M135" s="18"/>
    </x:row>
    <x:row r="136">
      <x:c r="K136" s="18"/>
      <x:c r="L136" s="18"/>
      <x:c r="M136" s="18"/>
    </x:row>
    <x:row r="137">
      <x:c r="K137" s="18"/>
      <x:c r="L137" s="18"/>
      <x:c r="M137" s="18"/>
    </x:row>
    <x:row r="138">
      <x:c r="K138" s="18"/>
      <x:c r="L138" s="18"/>
      <x:c r="M138" s="18"/>
    </x:row>
    <x:row r="139">
      <x:c r="K139" s="18"/>
      <x:c r="L139" s="18"/>
      <x:c r="M139" s="18"/>
    </x:row>
    <x:row r="140">
      <x:c r="K140" s="18"/>
      <x:c r="L140" s="18"/>
      <x:c r="M140" s="18"/>
    </x:row>
    <x:row r="141">
      <x:c r="K141" s="18"/>
      <x:c r="L141" s="18"/>
      <x:c r="M141" s="18"/>
    </x:row>
    <x:row r="142">
      <x:c r="K142" s="18"/>
      <x:c r="L142" s="18"/>
      <x:c r="M142" s="18"/>
    </x:row>
    <x:row r="143">
      <x:c r="K143" s="18"/>
      <x:c r="L143" s="18"/>
      <x:c r="M143" s="18"/>
    </x:row>
    <x:row r="144">
      <x:c r="K144" s="18"/>
      <x:c r="L144" s="18"/>
      <x:c r="M144" s="18"/>
    </x:row>
    <x:row r="145">
      <x:c r="K145" s="18"/>
      <x:c r="L145" s="18"/>
      <x:c r="M145" s="18"/>
    </x:row>
    <x:row r="146">
      <x:c r="K146" s="18"/>
      <x:c r="L146" s="18"/>
      <x:c r="M146" s="18"/>
    </x:row>
    <x:row r="147">
      <x:c r="K147" s="18"/>
      <x:c r="L147" s="18"/>
      <x:c r="M147" s="18"/>
    </x:row>
    <x:row r="148">
      <x:c r="K148" s="18"/>
      <x:c r="L148" s="18"/>
      <x:c r="M148" s="18"/>
    </x:row>
    <x:row r="149">
      <x:c r="K149" s="18"/>
      <x:c r="L149" s="18"/>
      <x:c r="M149" s="18"/>
    </x:row>
    <x:row r="150">
      <x:c r="K150" s="18"/>
      <x:c r="L150" s="18"/>
      <x:c r="M150" s="18"/>
    </x:row>
    <x:row r="151">
      <x:c r="K151" s="18"/>
      <x:c r="L151" s="18"/>
      <x:c r="M151" s="18"/>
    </x:row>
    <x:row r="152">
      <x:c r="K152" s="18"/>
      <x:c r="L152" s="18"/>
      <x:c r="M152" s="18"/>
    </x:row>
    <x:row r="153">
      <x:c r="K153" s="18"/>
      <x:c r="L153" s="18"/>
      <x:c r="M153" s="18"/>
    </x:row>
    <x:row r="154">
      <x:c r="K154" s="18"/>
      <x:c r="L154" s="18"/>
      <x:c r="M154" s="18"/>
    </x:row>
    <x:row r="155">
      <x:c r="K155" s="18"/>
      <x:c r="L155" s="18"/>
      <x:c r="M155" s="18"/>
    </x:row>
    <x:row r="156">
      <x:c r="K156" s="18"/>
      <x:c r="L156" s="18"/>
      <x:c r="M156" s="18"/>
    </x:row>
    <x:row r="157">
      <x:c r="K157" s="18"/>
      <x:c r="L157" s="18"/>
      <x:c r="M157" s="18"/>
    </x:row>
    <x:row r="158">
      <x:c r="K158" s="18"/>
      <x:c r="L158" s="18"/>
      <x:c r="M158" s="18"/>
    </x:row>
    <x:row r="159">
      <x:c r="K159" s="18"/>
      <x:c r="L159" s="18"/>
      <x:c r="M159" s="18"/>
    </x:row>
    <x:row r="160">
      <x:c r="K160" s="18"/>
      <x:c r="L160" s="18"/>
      <x:c r="M160" s="18"/>
    </x:row>
    <x:row r="161">
      <x:c r="K161" s="18"/>
      <x:c r="L161" s="18"/>
      <x:c r="M161" s="18"/>
    </x:row>
    <x:row r="162">
      <x:c r="K162" s="18"/>
      <x:c r="L162" s="18"/>
      <x:c r="M162" s="18"/>
    </x:row>
    <x:row r="163">
      <x:c r="K163" s="18"/>
      <x:c r="L163" s="18"/>
      <x:c r="M163" s="18"/>
    </x:row>
    <x:row r="164">
      <x:c r="K164" s="18"/>
      <x:c r="L164" s="18"/>
      <x:c r="M164" s="18"/>
    </x:row>
    <x:row r="165">
      <x:c r="K165" s="18"/>
      <x:c r="L165" s="18"/>
      <x:c r="M165" s="18"/>
    </x:row>
    <x:row r="166">
      <x:c r="K166" s="18"/>
      <x:c r="L166" s="18"/>
      <x:c r="M166" s="18"/>
    </x:row>
    <x:row r="167">
      <x:c r="K167" s="18"/>
      <x:c r="L167" s="18"/>
      <x:c r="M167" s="18"/>
    </x:row>
    <x:row r="168">
      <x:c r="K168" s="18"/>
      <x:c r="L168" s="18"/>
      <x:c r="M168" s="18"/>
    </x:row>
    <x:row r="169">
      <x:c r="K169" s="18"/>
      <x:c r="L169" s="18"/>
      <x:c r="M169" s="18"/>
    </x:row>
    <x:row r="170">
      <x:c r="K170" s="18"/>
      <x:c r="L170" s="18"/>
      <x:c r="M170" s="18"/>
    </x:row>
    <x:row r="171">
      <x:c r="K171" s="18"/>
      <x:c r="L171" s="18"/>
      <x:c r="M171" s="18"/>
    </x:row>
    <x:row r="172">
      <x:c r="K172" s="18"/>
      <x:c r="L172" s="18"/>
      <x:c r="M172" s="18"/>
    </x:row>
    <x:row r="173">
      <x:c r="K173" s="18"/>
      <x:c r="L173" s="18"/>
      <x:c r="M173" s="18"/>
    </x:row>
    <x:row r="174">
      <x:c r="K174" s="18"/>
      <x:c r="L174" s="18"/>
      <x:c r="M174" s="18"/>
    </x:row>
    <x:row r="175">
      <x:c r="K175" s="18"/>
      <x:c r="L175" s="18"/>
      <x:c r="M175" s="18"/>
    </x:row>
    <x:row r="176">
      <x:c r="K176" s="18"/>
      <x:c r="L176" s="18"/>
      <x:c r="M176" s="18"/>
    </x:row>
    <x:row r="177">
      <x:c r="K177" s="18"/>
      <x:c r="L177" s="18"/>
      <x:c r="M177" s="18"/>
    </x:row>
    <x:row r="178">
      <x:c r="K178" s="18"/>
      <x:c r="L178" s="18"/>
      <x:c r="M178" s="18"/>
    </x:row>
    <x:row r="179">
      <x:c r="K179" s="18"/>
      <x:c r="L179" s="18"/>
      <x:c r="M179" s="18"/>
    </x:row>
    <x:row r="180">
      <x:c r="K180" s="18"/>
      <x:c r="L180" s="18"/>
      <x:c r="M180" s="18"/>
    </x:row>
    <x:row r="181">
      <x:c r="K181" s="18"/>
      <x:c r="L181" s="18"/>
      <x:c r="M181" s="18"/>
    </x:row>
    <x:row r="182">
      <x:c r="K182" s="18"/>
      <x:c r="L182" s="18"/>
      <x:c r="M182" s="18"/>
    </x:row>
    <x:row r="183">
      <x:c r="K183" s="18"/>
      <x:c r="L183" s="18"/>
      <x:c r="M183" s="18"/>
    </x:row>
    <x:row r="184">
      <x:c r="K184" s="18"/>
      <x:c r="L184" s="18"/>
      <x:c r="M184" s="18"/>
    </x:row>
    <x:row r="185">
      <x:c r="K185" s="18"/>
      <x:c r="L185" s="18"/>
      <x:c r="M185" s="18"/>
    </x:row>
    <x:row r="186">
      <x:c r="K186" s="18"/>
      <x:c r="L186" s="18"/>
      <x:c r="M186" s="18"/>
    </x:row>
    <x:row r="187">
      <x:c r="K187" s="18"/>
      <x:c r="L187" s="18"/>
      <x:c r="M187" s="18"/>
    </x:row>
    <x:row r="188">
      <x:c r="K188" s="18"/>
      <x:c r="L188" s="18"/>
      <x:c r="M188" s="18"/>
    </x:row>
    <x:row r="189">
      <x:c r="K189" s="18"/>
      <x:c r="L189" s="18"/>
      <x:c r="M189" s="18"/>
    </x:row>
    <x:row r="190">
      <x:c r="K190" s="18"/>
      <x:c r="L190" s="18"/>
      <x:c r="M190" s="18"/>
    </x:row>
    <x:row r="191">
      <x:c r="K191" s="18"/>
      <x:c r="L191" s="18"/>
      <x:c r="M191" s="18"/>
    </x:row>
    <x:row r="192">
      <x:c r="K192" s="18"/>
      <x:c r="L192" s="18"/>
      <x:c r="M192" s="18"/>
    </x:row>
    <x:row r="193">
      <x:c r="K193" s="18"/>
      <x:c r="L193" s="18"/>
      <x:c r="M193" s="18"/>
    </x:row>
    <x:row r="194">
      <x:c r="K194" s="18"/>
      <x:c r="L194" s="18"/>
      <x:c r="M194" s="18"/>
    </x:row>
    <x:row r="195">
      <x:c r="K195" s="18"/>
      <x:c r="L195" s="18"/>
      <x:c r="M195" s="18"/>
    </x:row>
    <x:row r="196">
      <x:c r="K196" s="18"/>
      <x:c r="L196" s="18"/>
      <x:c r="M196" s="18"/>
    </x:row>
    <x:row r="197">
      <x:c r="K197" s="18"/>
      <x:c r="L197" s="18"/>
      <x:c r="M197" s="18"/>
    </x:row>
    <x:row r="198">
      <x:c r="K198" s="18"/>
      <x:c r="L198" s="18"/>
      <x:c r="M198" s="18"/>
    </x:row>
    <x:row r="199">
      <x:c r="K199" s="18"/>
      <x:c r="L199" s="18"/>
      <x:c r="M199" s="18"/>
    </x:row>
    <x:row r="200">
      <x:c r="K200" s="18"/>
      <x:c r="L200" s="18"/>
      <x:c r="M200" s="18"/>
    </x:row>
    <x:row r="201">
      <x:c r="K201" s="18"/>
      <x:c r="L201" s="18"/>
      <x:c r="M201" s="18"/>
    </x:row>
    <x:row r="202">
      <x:c r="K202" s="18"/>
      <x:c r="L202" s="18"/>
      <x:c r="M202" s="18"/>
    </x:row>
    <x:row r="203">
      <x:c r="K203" s="18"/>
      <x:c r="L203" s="18"/>
      <x:c r="M203" s="18"/>
    </x:row>
    <x:row r="204">
      <x:c r="K204" s="18"/>
      <x:c r="L204" s="18"/>
      <x:c r="M204" s="18"/>
    </x:row>
    <x:row r="205">
      <x:c r="K205" s="18"/>
      <x:c r="L205" s="18"/>
      <x:c r="M205" s="18"/>
    </x:row>
  </x:sheetData>
  <x:mergeCells>
    <x:mergeCell ref="A1:N1"/>
    <x:mergeCell ref="A2:N2"/>
    <x:mergeCell ref="A4:N4"/>
  </x:mergeCells>
  <x:conditionalFormatting sqref="K6:K205">
    <x:cfRule type="containsText" dxfId="16" priority="1" operator="containsText" text="OK"/>
    <x:cfRule type="containsText" dxfId="17" priority="2" operator="containsText" text="NG"/>
    <x:cfRule type="containsText" dxfId="18" priority="3" operator="containsText" text="保留"/>
    <x:cfRule type="containsText" dxfId="19" priority="4" operator="containsText" text="対象外"/>
  </x:conditionalFormatting>
  <x:dataValidations count="2">
    <x:dataValidation type="list" sqref="K6:K205">
      <x:formula1>"未実施,OK,NG,保留,対象外"</x:formula1>
    </x:dataValidation>
    <x:dataValidation type="list" sqref="B6:B205">
      <x:formula1>"P0,P1,P2,P3"</x:formula1>
    </x:dataValidation>
  </x:dataValidations>
  <x:pageMargins left="0.7" right="0.7" top="0.75" bottom="0.75" header="0.3" footer="0.3"/>
  <x:tableParts count="1">
    <x:tablePart xmlns:r="http://schemas.openxmlformats.org/officeDocument/2006/relationships" r:id="R83b04f8df9d14ba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18" hidden="0" customWidth="1"/>
    <x:col min="4" max="4" width="34" hidden="0" customWidth="1"/>
    <x:col min="5" max="5" width="48" hidden="0" customWidth="1"/>
    <x:col min="6" max="6" width="52" hidden="0" customWidth="1"/>
    <x:col min="7" max="7" width="48" hidden="0" customWidth="1"/>
    <x:col min="8" max="8" width="52" hidden="0" customWidth="1"/>
    <x:col min="9" max="9" width="28" hidden="0" customWidth="1"/>
    <x:col min="10" max="10" width="26" hidden="0" customWidth="1"/>
    <x:col min="11" max="11" width="10" hidden="0" customWidth="1"/>
    <x:col min="12" max="12" width="20" hidden="0" customWidth="1"/>
    <x:col min="13" max="13" width="16" hidden="0" customWidth="1"/>
    <x:col min="14" max="14" width="34" hidden="0" customWidth="1"/>
  </x:cols>
  <x:sheetData>
    <x:row r="1" ht="30" customHeight="1">
      <x:c r="A1" s="3" t="str">
        <x:v>重複処理・排他制御チェックリスト</x:v>
      </x:c>
      <x:c r="B1" s="3"/>
      <x:c r="C1" s="3"/>
      <x:c r="D1" s="3"/>
      <x:c r="E1" s="3"/>
      <x:c r="F1" s="3"/>
      <x:c r="G1" s="3"/>
      <x:c r="H1" s="3"/>
      <x:c r="I1" s="3"/>
      <x:c r="J1" s="3"/>
      <x:c r="K1" s="3"/>
      <x:c r="L1" s="3"/>
      <x:c r="M1" s="3"/>
      <x:c r="N1" s="3"/>
    </x:row>
    <x:row r="2" ht="42" customHeight="1">
      <x:c r="A2" s="7" t="str">
        <x:v>K列に結果を記録し、L/M/N列に実データ・証跡を残す。JX受信済みのローカルデータを前提に、必要な行だけ実施してよい。</x:v>
      </x:c>
      <x:c r="B2" s="7"/>
      <x:c r="C2" s="7"/>
      <x:c r="D2" s="7"/>
      <x:c r="E2" s="7"/>
      <x:c r="F2" s="7"/>
      <x:c r="G2" s="7"/>
      <x:c r="H2" s="7"/>
      <x:c r="I2" s="7"/>
      <x:c r="J2" s="7"/>
      <x:c r="K2" s="7"/>
      <x:c r="L2" s="7"/>
      <x:c r="M2" s="7"/>
      <x:c r="N2" s="7"/>
    </x:row>
    <x:row r="4" ht="24" customHeight="1">
      <x:c r="A4" s="9" t="str">
        <x:v>ステータス: 未実施 / OK / NG / 保留 / 対象外</x:v>
      </x:c>
      <x:c r="B4" s="9"/>
      <x:c r="C4" s="9"/>
      <x:c r="D4" s="9"/>
      <x:c r="E4" s="9"/>
      <x:c r="F4" s="9"/>
      <x:c r="G4" s="9"/>
      <x:c r="H4" s="9"/>
      <x:c r="I4" s="9"/>
      <x:c r="J4" s="9"/>
      <x:c r="K4" s="9"/>
      <x:c r="L4" s="9"/>
      <x:c r="M4" s="9"/>
      <x:c r="N4" s="9"/>
    </x:row>
    <x:row r="5" ht="34" customHeight="1">
      <x:c r="A5" s="19" t="str">
        <x:v>No</x:v>
      </x:c>
      <x:c r="B5" s="19" t="str">
        <x:v>優先度</x:v>
      </x:c>
      <x:c r="C5" s="19" t="str">
        <x:v>テスト観点</x:v>
      </x:c>
      <x:c r="D5" s="19" t="str">
        <x:v>ケース</x:v>
      </x:c>
      <x:c r="E5" s="19" t="str">
        <x:v>事前条件/対象データ</x:v>
      </x:c>
      <x:c r="F5" s="19" t="str">
        <x:v>操作</x:v>
      </x:c>
      <x:c r="G5" s="19" t="str">
        <x:v>期待結果(UI)</x:v>
      </x:c>
      <x:c r="H5" s="19" t="str">
        <x:v>期待結果(DB)</x:v>
      </x:c>
      <x:c r="I5" s="19" t="str">
        <x:v>確認画面/SQL</x:v>
      </x:c>
      <x:c r="J5" s="19" t="str">
        <x:v>入力する実データ</x:v>
      </x:c>
      <x:c r="K5" s="19" t="str">
        <x:v>結果</x:v>
      </x:c>
      <x:c r="L5" s="19" t="str">
        <x:v>JXログID/伝票</x:v>
      </x:c>
      <x:c r="M5" s="19" t="str">
        <x:v>仕入キューID</x:v>
      </x:c>
      <x:c r="N5" s="19" t="str">
        <x:v>メモ</x:v>
      </x:c>
    </x:row>
    <x:row r="6" ht="70" customHeight="1">
      <x:c r="A6" s="20" t="str">
        <x:v>DC-001</x:v>
      </x:c>
      <x:c r="B6" s="20" t="str">
        <x:v>P0</x:v>
      </x:c>
      <x:c r="C6" s="21" t="str">
        <x:v>受信ファイル</x:v>
      </x:c>
      <x:c r="D6" s="21" t="str">
        <x:v>同一message_idのJXログは同一受信ファイルとして扱う</x:v>
      </x:c>
      <x:c r="E6" s="21" t="str">
        <x:v>received_message_idが同じJX受信ログ。</x:v>
      </x:c>
      <x:c r="F6" s="21" t="str">
        <x:v>同じログのEOS取込/入荷更新を再実行する。</x:v>
      </x:c>
      <x:c r="G6" s="21" t="str">
        <x:v>既存ファイルを再利用し、二重に受信ファイルを作らない。</x:v>
      </x:c>
      <x:c r="H6" s="21" t="str">
        <x:v>wms_incoming_received_files where received_message_id=? の終端ファイルが1件。</x:v>
      </x:c>
      <x:c r="I6" s="21" t="str">
        <x:v>SQL-01, SQL-02</x:v>
      </x:c>
      <x:c r="J6" s="21" t="str">
        <x:v>message_id</x:v>
      </x:c>
      <x:c r="K6" s="20" t="str">
        <x:v>未実施</x:v>
      </x:c>
      <x:c r="L6" s="20" t="str"/>
      <x:c r="M6" s="20" t="str"/>
      <x:c r="N6" s="21" t="str"/>
    </x:row>
    <x:row r="7" ht="70" customHeight="1">
      <x:c r="A7" s="20" t="str">
        <x:v>DC-002</x:v>
      </x:c>
      <x:c r="B7" s="20" t="str">
        <x:v>P0</x:v>
      </x:c>
      <x:c r="C7" s="21" t="str">
        <x:v>原本保存</x:v>
      </x:c>
      <x:c r="D7" s="21" t="str">
        <x:v>単価相違原本はsource_key一意で重複しない</x:v>
      </x:c>
      <x:c r="E7" s="21" t="str">
        <x:v>同一JX明細を2回処理する。</x:v>
      </x:c>
      <x:c r="F7" s="21" t="str">
        <x:v>2回目の処理後に件数を確認する。</x:v>
      </x:c>
      <x:c r="G7" s="21" t="str">
        <x:v>件数が増えない。</x:v>
      </x:c>
      <x:c r="H7" s="21" t="str">
        <x:v>group by source_key having count(*)&gt;1 が0件。</x:v>
      </x:c>
      <x:c r="I7" s="21" t="str">
        <x:v>SQL-10</x:v>
      </x:c>
      <x:c r="J7" s="21" t="str">
        <x:v>source_key</x:v>
      </x:c>
      <x:c r="K7" s="20" t="str">
        <x:v>未実施</x:v>
      </x:c>
      <x:c r="L7" s="20" t="str"/>
      <x:c r="M7" s="20" t="str"/>
      <x:c r="N7" s="21" t="str"/>
    </x:row>
    <x:row r="8" ht="70" customHeight="1">
      <x:c r="A8" s="20" t="str">
        <x:v>DC-003</x:v>
      </x:c>
      <x:c r="B8" s="20" t="str">
        <x:v>P0</x:v>
      </x:c>
      <x:c r="C8" s="21" t="str">
        <x:v>自動実行</x:v>
      </x:c>
      <x:c r="D8" s="21" t="str">
        <x:v>自動受信runはrun_key一意で重複起動を防ぐ</x:v>
      </x:c>
      <x:c r="E8" s="21" t="str">
        <x:v>同じスケジュール時刻のrun_key。</x:v>
      </x:c>
      <x:c r="F8" s="21" t="str">
        <x:v>同じrun_keyでジョブ/コマンド相当を複数回実行する。</x:v>
      </x:c>
      <x:c r="G8" s="21" t="str">
        <x:v>既存runが返り、2件目のrunが作られない。</x:v>
      </x:c>
      <x:c r="H8" s="21" t="str">
        <x:v>wms_eos_incoming_receive_runs.run_key がuniqueで1件。</x:v>
      </x:c>
      <x:c r="I8" s="21" t="str">
        <x:v>SQL-08, SQL-10</x:v>
      </x:c>
      <x:c r="J8" s="21" t="str">
        <x:v>run_key</x:v>
      </x:c>
      <x:c r="K8" s="20" t="str">
        <x:v>未実施</x:v>
      </x:c>
      <x:c r="L8" s="20" t="str"/>
      <x:c r="M8" s="20" t="str"/>
      <x:c r="N8" s="21" t="str"/>
    </x:row>
    <x:row r="9" ht="70" customHeight="1">
      <x:c r="A9" s="20" t="str">
        <x:v>DC-004</x:v>
      </x:c>
      <x:c r="B9" s="20" t="str">
        <x:v>P0</x:v>
      </x:c>
      <x:c r="C9" s="21" t="str">
        <x:v>仕入送信</x:v>
      </x:c>
      <x:c r="D9" s="21" t="str">
        <x:v>仕入キュー作成中はlockForUpdateで二重送信を防ぐ</x:v>
      </x:c>
      <x:c r="E9" s="21" t="str">
        <x:v>同一scheduleを複数画面で送信可能な状態にする。</x:v>
      </x:c>
      <x:c r="F9" s="21" t="str">
        <x:v>同時に仕入送信を実行する。</x:v>
      </x:c>
      <x:c r="G9" s="21" t="str">
        <x:v>二重キューにならない。</x:v>
      </x:c>
      <x:c r="H9" s="21" t="str">
        <x:v>同一schedule_idのpurchase_queue_idは1つ。purchase_create_queueのitemsにも重複明細なし。</x:v>
      </x:c>
      <x:c r="I9" s="21" t="str">
        <x:v>SQL-07, SQL-10</x:v>
      </x:c>
      <x:c r="J9" s="21" t="str">
        <x:v>schedule_id</x:v>
      </x:c>
      <x:c r="K9" s="20" t="str">
        <x:v>未実施</x:v>
      </x:c>
      <x:c r="L9" s="20" t="str"/>
      <x:c r="M9" s="20" t="str"/>
      <x:c r="N9" s="21" t="str"/>
    </x:row>
    <x:row r="10" ht="70" customHeight="1">
      <x:c r="A10" s="20" t="str">
        <x:v>DC-005</x:v>
      </x:c>
      <x:c r="B10" s="20" t="str">
        <x:v>P1</x:v>
      </x:c>
      <x:c r="C10" s="21" t="str">
        <x:v>部分選択</x:v>
      </x:c>
      <x:c r="D10" s="21" t="str">
        <x:v>選択送信で未選択明細が勝手に送信済みにならない</x:v>
      </x:c>
      <x:c r="E10" s="21" t="str">
        <x:v>同一グループに複数未送信明細。</x:v>
      </x:c>
      <x:c r="F10" s="21" t="str">
        <x:v>一部だけ選択送信する。</x:v>
      </x:c>
      <x:c r="G10" s="21" t="str">
        <x:v>未選択明細は未送信のまま残る。</x:v>
      </x:c>
      <x:c r="H10" s="21" t="str">
        <x:v>未選択schedule.purchase_queue_id is null/status=CONFIRMED。</x:v>
      </x:c>
      <x:c r="I10" s="21" t="str">
        <x:v>SQL-03, SQL-07</x:v>
      </x:c>
      <x:c r="J10" s="21" t="str">
        <x:v>選択/未選択ID</x:v>
      </x:c>
      <x:c r="K10" s="20" t="str">
        <x:v>未実施</x:v>
      </x:c>
      <x:c r="L10" s="20" t="str"/>
      <x:c r="M10" s="20" t="str"/>
      <x:c r="N10" s="21" t="str"/>
    </x:row>
    <x:row r="11" ht="70" customHeight="1">
      <x:c r="A11" s="20" t="str">
        <x:v>DC-006</x:v>
      </x:c>
      <x:c r="B11" s="20" t="str">
        <x:v>P0</x:v>
      </x:c>
      <x:c r="C11" s="21" t="str">
        <x:v>不明仕入先</x:v>
      </x:c>
      <x:c r="D11" s="21" t="str">
        <x:v>仕入先不明データでpurchase_create_queueを作らない</x:v>
      </x:c>
      <x:c r="E11" s="21" t="str">
        <x:v>supplier_codeが空になるschedule。</x:v>
      </x:c>
      <x:c r="F11" s="21" t="str">
        <x:v>仕入送信を実行する。</x:v>
      </x:c>
      <x:c r="G11" s="21" t="str">
        <x:v>エラー通知だけ出る。</x:v>
      </x:c>
      <x:c r="H11" s="21" t="str">
        <x:v>該当slip_numberのpurchase_create_queueが0件。</x:v>
      </x:c>
      <x:c r="I11" s="21" t="str">
        <x:v>SQL-07, SQL-11</x:v>
      </x:c>
      <x:c r="J11" s="21" t="str">
        <x:v>伝票番号</x:v>
      </x:c>
      <x:c r="K11" s="20" t="str">
        <x:v>未実施</x:v>
      </x:c>
      <x:c r="L11" s="20" t="str"/>
      <x:c r="M11" s="20" t="str"/>
      <x:c r="N11" s="21" t="str"/>
    </x:row>
    <x:row r="12" ht="70" customHeight="1">
      <x:c r="A12" s="20" t="str">
        <x:v>DC-007</x:v>
      </x:c>
      <x:c r="B12" s="20" t="str">
        <x:v>P0</x:v>
      </x:c>
      <x:c r="C12" s="21" t="str">
        <x:v>自動対象外</x:v>
      </x:c>
      <x:c r="D12" s="21" t="str">
        <x:v>EOS送信履歴なしは自動仕入連携しない</x:v>
      </x:c>
      <x:c r="E12" s="21" t="str">
        <x:v>isEosSent=falseの確定データ。</x:v>
      </x:c>
      <x:c r="F12" s="21" t="str">
        <x:v>自動実行を行う。</x:v>
      </x:c>
      <x:c r="G12" s="21" t="str">
        <x:v>仕入キューは作られない。</x:v>
      </x:c>
      <x:c r="H12" s="21" t="str">
        <x:v>purchase_skipped_not_eos_sent_countが増え、purchase_queue_idはnull。</x:v>
      </x:c>
      <x:c r="I12" s="21" t="str">
        <x:v>SQL-03, SQL-08</x:v>
      </x:c>
      <x:c r="J12" s="21" t="str">
        <x:v>schedule_id</x:v>
      </x:c>
      <x:c r="K12" s="20" t="str">
        <x:v>未実施</x:v>
      </x:c>
      <x:c r="L12" s="20" t="str"/>
      <x:c r="M12" s="20" t="str"/>
      <x:c r="N12" s="21" t="str"/>
    </x:row>
    <x:row r="13" ht="70" customHeight="1">
      <x:c r="A13" s="20" t="str">
        <x:v>DC-008</x:v>
      </x:c>
      <x:c r="B13" s="20" t="str">
        <x:v>P0</x:v>
      </x:c>
      <x:c r="C13" s="21" t="str">
        <x:v>自動対象外</x:v>
      </x:c>
      <x:c r="D13" s="21" t="str">
        <x:v>91番倉庫は自動仕入連携しない</x:v>
      </x:c>
      <x:c r="E13" s="21" t="str">
        <x:v>warehouse.code=91の確定データ。</x:v>
      </x:c>
      <x:c r="F13" s="21" t="str">
        <x:v>自動実行を行う。</x:v>
      </x:c>
      <x:c r="G13" s="21" t="str">
        <x:v>仕入キューは作られない。</x:v>
      </x:c>
      <x:c r="H13" s="21" t="str">
        <x:v>purchase_skipped_warehouse91_countが増え、purchase_queue_idはnull。</x:v>
      </x:c>
      <x:c r="I13" s="21" t="str">
        <x:v>SQL-03, SQL-08</x:v>
      </x:c>
      <x:c r="J13" s="21" t="str">
        <x:v>schedule_id</x:v>
      </x:c>
      <x:c r="K13" s="20" t="str">
        <x:v>未実施</x:v>
      </x:c>
      <x:c r="L13" s="20" t="str"/>
      <x:c r="M13" s="20" t="str"/>
      <x:c r="N13" s="21" t="str"/>
    </x:row>
    <x:row r="14" ht="70" customHeight="1">
      <x:c r="A14" s="20" t="str">
        <x:v>DC-009</x:v>
      </x:c>
      <x:c r="B14" s="20" t="str">
        <x:v>P1</x:v>
      </x:c>
      <x:c r="C14" s="21" t="str">
        <x:v>終端状態</x:v>
      </x:c>
      <x:c r="D14" s="21" t="str">
        <x:v>APPLIED/SKIPPEDの受信ファイルは再適用しない</x:v>
      </x:c>
      <x:c r="E14" s="21" t="str">
        <x:v>file.status=APPLIEDまたはSKIPPED。</x:v>
      </x:c>
      <x:c r="F14" s="21" t="str">
        <x:v>同じログの取り込みを再実行する。</x:v>
      </x:c>
      <x:c r="G14" s="21" t="str">
        <x:v>既に適用済み/処理対象外としてスキップ。</x:v>
      </x:c>
      <x:c r="H14" s="21" t="str">
        <x:v>workflow terminal判定でschedule_idsの追加更新なし。</x:v>
      </x:c>
      <x:c r="I14" s="21" t="str">
        <x:v>SQL-01, SQL-02, SQL-03</x:v>
      </x:c>
      <x:c r="J14" s="21" t="str">
        <x:v>file_id</x:v>
      </x:c>
      <x:c r="K14" s="20" t="str">
        <x:v>未実施</x:v>
      </x:c>
      <x:c r="L14" s="20" t="str"/>
      <x:c r="M14" s="20" t="str"/>
      <x:c r="N14" s="21" t="str"/>
    </x:row>
    <x:row r="15" ht="70" customHeight="1">
      <x:c r="A15" s="20" t="str">
        <x:v>DC-010</x:v>
      </x:c>
      <x:c r="B15" s="20" t="str">
        <x:v>P1</x:v>
      </x:c>
      <x:c r="C15" s="21" t="str">
        <x:v>エラー証跡</x:v>
      </x:c>
      <x:c r="D15" s="21" t="str">
        <x:v>例外発生時は自動実行ログとLaravel error logに残る</x:v>
      </x:c>
      <x:c r="E15" s="21" t="str">
        <x:v>読み込み不可ファイルや不正データを対象にする。</x:v>
      </x:c>
      <x:c r="F15" s="21" t="str">
        <x:v>自動実行または手動取込を実行する。</x:v>
      </x:c>
      <x:c r="G15" s="21" t="str">
        <x:v>画面/ログで原因が追える。</x:v>
      </x:c>
      <x:c r="H15" s="21" t="str">
        <x:v>wms_eos_incoming_receive_run_logs.level=error。LOG:ERROR経由でSlack通知対象。</x:v>
      </x:c>
      <x:c r="I15" s="21" t="str">
        <x:v>SQL-08</x:v>
      </x:c>
      <x:c r="J15" s="21" t="str">
        <x:v>run_id/log_id</x:v>
      </x:c>
      <x:c r="K15" s="20" t="str">
        <x:v>未実施</x:v>
      </x:c>
      <x:c r="L15" s="20" t="str"/>
      <x:c r="M15" s="20" t="str"/>
      <x:c r="N15" s="21" t="str"/>
    </x:row>
    <x:row r="16" ht="70" customHeight="1">
      <x:c r="A16" s="20" t="str">
        <x:v>DC-011</x:v>
      </x:c>
      <x:c r="B16" s="20" t="str">
        <x:v>P2</x:v>
      </x:c>
      <x:c r="C16" s="21" t="str">
        <x:v>過去データ</x:v>
      </x:c>
      <x:c r="D16" s="21" t="str">
        <x:v>過去スキップパッチ後のデータは再照合対象にならない</x:v>
      </x:c>
      <x:c r="E16" s="21" t="str">
        <x:v>リリース前としてSKIPPEDにした受信ファイル。</x:v>
      </x:c>
      <x:c r="F16" s="21" t="str">
        <x:v>通常の取り込み対象一覧や自動実行対象を確認する。</x:v>
      </x:c>
      <x:c r="G16" s="21" t="str">
        <x:v>対象外として残り、未取込表示に戻らない。</x:v>
      </x:c>
      <x:c r="H16" s="21" t="str">
        <x:v>pendingEosIncomingImport相当から除外される。</x:v>
      </x:c>
      <x:c r="I16" s="21" t="str">
        <x:v>SQL-01, SQL-02</x:v>
      </x:c>
      <x:c r="J16" s="21" t="str">
        <x:v>過去file_id</x:v>
      </x:c>
      <x:c r="K16" s="20" t="str">
        <x:v>未実施</x:v>
      </x:c>
      <x:c r="L16" s="20" t="str"/>
      <x:c r="M16" s="20" t="str"/>
      <x:c r="N16" s="21" t="str"/>
    </x:row>
    <x:row r="17" ht="70" customHeight="1">
      <x:c r="A17" s="20" t="str">
        <x:v>DC-012</x:v>
      </x:c>
      <x:c r="B17" s="20" t="str">
        <x:v>P1</x:v>
      </x:c>
      <x:c r="C17" s="21" t="str">
        <x:v>リトライ</x:v>
      </x:c>
      <x:c r="D17" s="21" t="str">
        <x:v>一部失敗後の再実行で成功済み分を重複処理しない</x:v>
      </x:c>
      <x:c r="E17" s="21" t="str">
        <x:v>同一run内で一部ログが失敗し、一部は成功済み。</x:v>
      </x:c>
      <x:c r="F17" s="21" t="str">
        <x:v>原因修正後に再実行する。</x:v>
      </x:c>
      <x:c r="G17" s="21" t="str">
        <x:v>成功済み分は再作成されず、未成功分だけ進む。</x:v>
      </x:c>
      <x:c r="H17" s="21" t="str">
        <x:v>message_id/raw_sha256/source_key/purchase_queue_idにより重複なし。</x:v>
      </x:c>
      <x:c r="I17" s="21" t="str">
        <x:v>SQL-01, SQL-06, SQL-07, SQL-08</x:v>
      </x:c>
      <x:c r="J17" s="21" t="str">
        <x:v>失敗ログID</x:v>
      </x:c>
      <x:c r="K17" s="20" t="str">
        <x:v>未実施</x:v>
      </x:c>
      <x:c r="L17" s="20" t="str"/>
      <x:c r="M17" s="20" t="str"/>
      <x:c r="N17" s="21" t="str"/>
    </x:row>
    <x:row r="18">
      <x:c r="K18" s="18"/>
      <x:c r="L18" s="18"/>
      <x:c r="M18" s="18"/>
    </x:row>
    <x:row r="19">
      <x:c r="K19" s="18"/>
      <x:c r="L19" s="18"/>
      <x:c r="M19" s="18"/>
    </x:row>
    <x:row r="20">
      <x:c r="K20" s="18"/>
      <x:c r="L20" s="18"/>
      <x:c r="M20" s="18"/>
    </x:row>
    <x:row r="21">
      <x:c r="K21" s="18"/>
      <x:c r="L21" s="18"/>
      <x:c r="M21" s="18"/>
    </x:row>
    <x:row r="22">
      <x:c r="K22" s="18"/>
      <x:c r="L22" s="18"/>
      <x:c r="M22" s="18"/>
    </x:row>
    <x:row r="23">
      <x:c r="K23" s="18"/>
      <x:c r="L23" s="18"/>
      <x:c r="M23" s="18"/>
    </x:row>
    <x:row r="24">
      <x:c r="K24" s="18"/>
      <x:c r="L24" s="18"/>
      <x:c r="M24" s="18"/>
    </x:row>
    <x:row r="25">
      <x:c r="K25" s="18"/>
      <x:c r="L25" s="18"/>
      <x:c r="M25" s="18"/>
    </x:row>
    <x:row r="26">
      <x:c r="K26" s="18"/>
      <x:c r="L26" s="18"/>
      <x:c r="M26" s="18"/>
    </x:row>
    <x:row r="27">
      <x:c r="K27" s="18"/>
      <x:c r="L27" s="18"/>
      <x:c r="M27" s="18"/>
    </x:row>
    <x:row r="28">
      <x:c r="K28" s="18"/>
      <x:c r="L28" s="18"/>
      <x:c r="M28" s="18"/>
    </x:row>
    <x:row r="29">
      <x:c r="K29" s="18"/>
      <x:c r="L29" s="18"/>
      <x:c r="M29" s="18"/>
    </x:row>
    <x:row r="30">
      <x:c r="K30" s="18"/>
      <x:c r="L30" s="18"/>
      <x:c r="M30" s="18"/>
    </x:row>
    <x:row r="31">
      <x:c r="K31" s="18"/>
      <x:c r="L31" s="18"/>
      <x:c r="M31" s="18"/>
    </x:row>
    <x:row r="32">
      <x:c r="K32" s="18"/>
      <x:c r="L32" s="18"/>
      <x:c r="M32" s="18"/>
    </x:row>
    <x:row r="33">
      <x:c r="K33" s="18"/>
      <x:c r="L33" s="18"/>
      <x:c r="M33" s="18"/>
    </x:row>
    <x:row r="34">
      <x:c r="K34" s="18"/>
      <x:c r="L34" s="18"/>
      <x:c r="M34" s="18"/>
    </x:row>
    <x:row r="35">
      <x:c r="K35" s="18"/>
      <x:c r="L35" s="18"/>
      <x:c r="M35" s="18"/>
    </x:row>
    <x:row r="36">
      <x:c r="K36" s="18"/>
      <x:c r="L36" s="18"/>
      <x:c r="M36" s="18"/>
    </x:row>
    <x:row r="37">
      <x:c r="K37" s="18"/>
      <x:c r="L37" s="18"/>
      <x:c r="M37" s="18"/>
    </x:row>
    <x:row r="38">
      <x:c r="K38" s="18"/>
      <x:c r="L38" s="18"/>
      <x:c r="M38" s="18"/>
    </x:row>
    <x:row r="39">
      <x:c r="K39" s="18"/>
      <x:c r="L39" s="18"/>
      <x:c r="M39" s="18"/>
    </x:row>
    <x:row r="40">
      <x:c r="K40" s="18"/>
      <x:c r="L40" s="18"/>
      <x:c r="M40" s="18"/>
    </x:row>
    <x:row r="41">
      <x:c r="K41" s="18"/>
      <x:c r="L41" s="18"/>
      <x:c r="M41" s="18"/>
    </x:row>
    <x:row r="42">
      <x:c r="K42" s="18"/>
      <x:c r="L42" s="18"/>
      <x:c r="M42" s="18"/>
    </x:row>
    <x:row r="43">
      <x:c r="K43" s="18"/>
      <x:c r="L43" s="18"/>
      <x:c r="M43" s="18"/>
    </x:row>
    <x:row r="44">
      <x:c r="K44" s="18"/>
      <x:c r="L44" s="18"/>
      <x:c r="M44" s="18"/>
    </x:row>
    <x:row r="45">
      <x:c r="K45" s="18"/>
      <x:c r="L45" s="18"/>
      <x:c r="M45" s="18"/>
    </x:row>
    <x:row r="46">
      <x:c r="K46" s="18"/>
      <x:c r="L46" s="18"/>
      <x:c r="M46" s="18"/>
    </x:row>
    <x:row r="47">
      <x:c r="K47" s="18"/>
      <x:c r="L47" s="18"/>
      <x:c r="M47" s="18"/>
    </x:row>
    <x:row r="48">
      <x:c r="K48" s="18"/>
      <x:c r="L48" s="18"/>
      <x:c r="M48" s="18"/>
    </x:row>
    <x:row r="49">
      <x:c r="K49" s="18"/>
      <x:c r="L49" s="18"/>
      <x:c r="M49" s="18"/>
    </x:row>
    <x:row r="50">
      <x:c r="K50" s="18"/>
      <x:c r="L50" s="18"/>
      <x:c r="M50" s="18"/>
    </x:row>
    <x:row r="51">
      <x:c r="K51" s="18"/>
      <x:c r="L51" s="18"/>
      <x:c r="M51" s="18"/>
    </x:row>
    <x:row r="52">
      <x:c r="K52" s="18"/>
      <x:c r="L52" s="18"/>
      <x:c r="M52" s="18"/>
    </x:row>
    <x:row r="53">
      <x:c r="K53" s="18"/>
      <x:c r="L53" s="18"/>
      <x:c r="M53" s="18"/>
    </x:row>
    <x:row r="54">
      <x:c r="K54" s="18"/>
      <x:c r="L54" s="18"/>
      <x:c r="M54" s="18"/>
    </x:row>
    <x:row r="55">
      <x:c r="K55" s="18"/>
      <x:c r="L55" s="18"/>
      <x:c r="M55" s="18"/>
    </x:row>
    <x:row r="56">
      <x:c r="K56" s="18"/>
      <x:c r="L56" s="18"/>
      <x:c r="M56" s="18"/>
    </x:row>
    <x:row r="57">
      <x:c r="K57" s="18"/>
      <x:c r="L57" s="18"/>
      <x:c r="M57" s="18"/>
    </x:row>
    <x:row r="58">
      <x:c r="K58" s="18"/>
      <x:c r="L58" s="18"/>
      <x:c r="M58" s="18"/>
    </x:row>
    <x:row r="59">
      <x:c r="K59" s="18"/>
      <x:c r="L59" s="18"/>
      <x:c r="M59" s="18"/>
    </x:row>
    <x:row r="60">
      <x:c r="K60" s="18"/>
      <x:c r="L60" s="18"/>
      <x:c r="M60" s="18"/>
    </x:row>
    <x:row r="61">
      <x:c r="K61" s="18"/>
      <x:c r="L61" s="18"/>
      <x:c r="M61" s="18"/>
    </x:row>
    <x:row r="62">
      <x:c r="K62" s="18"/>
      <x:c r="L62" s="18"/>
      <x:c r="M62" s="18"/>
    </x:row>
    <x:row r="63">
      <x:c r="K63" s="18"/>
      <x:c r="L63" s="18"/>
      <x:c r="M63" s="18"/>
    </x:row>
    <x:row r="64">
      <x:c r="K64" s="18"/>
      <x:c r="L64" s="18"/>
      <x:c r="M64" s="18"/>
    </x:row>
    <x:row r="65">
      <x:c r="K65" s="18"/>
      <x:c r="L65" s="18"/>
      <x:c r="M65" s="18"/>
    </x:row>
    <x:row r="66">
      <x:c r="K66" s="18"/>
      <x:c r="L66" s="18"/>
      <x:c r="M66" s="18"/>
    </x:row>
    <x:row r="67">
      <x:c r="K67" s="18"/>
      <x:c r="L67" s="18"/>
      <x:c r="M67" s="18"/>
    </x:row>
    <x:row r="68">
      <x:c r="K68" s="18"/>
      <x:c r="L68" s="18"/>
      <x:c r="M68" s="18"/>
    </x:row>
    <x:row r="69">
      <x:c r="K69" s="18"/>
      <x:c r="L69" s="18"/>
      <x:c r="M69" s="18"/>
    </x:row>
    <x:row r="70">
      <x:c r="K70" s="18"/>
      <x:c r="L70" s="18"/>
      <x:c r="M70" s="18"/>
    </x:row>
    <x:row r="71">
      <x:c r="K71" s="18"/>
      <x:c r="L71" s="18"/>
      <x:c r="M71" s="18"/>
    </x:row>
    <x:row r="72">
      <x:c r="K72" s="18"/>
      <x:c r="L72" s="18"/>
      <x:c r="M72" s="18"/>
    </x:row>
    <x:row r="73">
      <x:c r="K73" s="18"/>
      <x:c r="L73" s="18"/>
      <x:c r="M73" s="18"/>
    </x:row>
    <x:row r="74">
      <x:c r="K74" s="18"/>
      <x:c r="L74" s="18"/>
      <x:c r="M74" s="18"/>
    </x:row>
    <x:row r="75">
      <x:c r="K75" s="18"/>
      <x:c r="L75" s="18"/>
      <x:c r="M75" s="18"/>
    </x:row>
    <x:row r="76">
      <x:c r="K76" s="18"/>
      <x:c r="L76" s="18"/>
      <x:c r="M76" s="18"/>
    </x:row>
    <x:row r="77">
      <x:c r="K77" s="18"/>
      <x:c r="L77" s="18"/>
      <x:c r="M77" s="18"/>
    </x:row>
    <x:row r="78">
      <x:c r="K78" s="18"/>
      <x:c r="L78" s="18"/>
      <x:c r="M78" s="18"/>
    </x:row>
    <x:row r="79">
      <x:c r="K79" s="18"/>
      <x:c r="L79" s="18"/>
      <x:c r="M79" s="18"/>
    </x:row>
    <x:row r="80">
      <x:c r="K80" s="18"/>
      <x:c r="L80" s="18"/>
      <x:c r="M80" s="18"/>
    </x:row>
    <x:row r="81">
      <x:c r="K81" s="18"/>
      <x:c r="L81" s="18"/>
      <x:c r="M81" s="18"/>
    </x:row>
    <x:row r="82">
      <x:c r="K82" s="18"/>
      <x:c r="L82" s="18"/>
      <x:c r="M82" s="18"/>
    </x:row>
    <x:row r="83">
      <x:c r="K83" s="18"/>
      <x:c r="L83" s="18"/>
      <x:c r="M83" s="18"/>
    </x:row>
    <x:row r="84">
      <x:c r="K84" s="18"/>
      <x:c r="L84" s="18"/>
      <x:c r="M84" s="18"/>
    </x:row>
    <x:row r="85">
      <x:c r="K85" s="18"/>
      <x:c r="L85" s="18"/>
      <x:c r="M85" s="18"/>
    </x:row>
    <x:row r="86">
      <x:c r="K86" s="18"/>
      <x:c r="L86" s="18"/>
      <x:c r="M86" s="18"/>
    </x:row>
    <x:row r="87">
      <x:c r="K87" s="18"/>
      <x:c r="L87" s="18"/>
      <x:c r="M87" s="18"/>
    </x:row>
    <x:row r="88">
      <x:c r="K88" s="18"/>
      <x:c r="L88" s="18"/>
      <x:c r="M88" s="18"/>
    </x:row>
    <x:row r="89">
      <x:c r="K89" s="18"/>
      <x:c r="L89" s="18"/>
      <x:c r="M89" s="18"/>
    </x:row>
    <x:row r="90">
      <x:c r="K90" s="18"/>
      <x:c r="L90" s="18"/>
      <x:c r="M90" s="18"/>
    </x:row>
    <x:row r="91">
      <x:c r="K91" s="18"/>
      <x:c r="L91" s="18"/>
      <x:c r="M91" s="18"/>
    </x:row>
    <x:row r="92">
      <x:c r="K92" s="18"/>
      <x:c r="L92" s="18"/>
      <x:c r="M92" s="18"/>
    </x:row>
    <x:row r="93">
      <x:c r="K93" s="18"/>
      <x:c r="L93" s="18"/>
      <x:c r="M93" s="18"/>
    </x:row>
    <x:row r="94">
      <x:c r="K94" s="18"/>
      <x:c r="L94" s="18"/>
      <x:c r="M94" s="18"/>
    </x:row>
    <x:row r="95">
      <x:c r="K95" s="18"/>
      <x:c r="L95" s="18"/>
      <x:c r="M95" s="18"/>
    </x:row>
    <x:row r="96">
      <x:c r="K96" s="18"/>
      <x:c r="L96" s="18"/>
      <x:c r="M96" s="18"/>
    </x:row>
    <x:row r="97">
      <x:c r="K97" s="18"/>
      <x:c r="L97" s="18"/>
      <x:c r="M97" s="18"/>
    </x:row>
    <x:row r="98">
      <x:c r="K98" s="18"/>
      <x:c r="L98" s="18"/>
      <x:c r="M98" s="18"/>
    </x:row>
    <x:row r="99">
      <x:c r="K99" s="18"/>
      <x:c r="L99" s="18"/>
      <x:c r="M99" s="18"/>
    </x:row>
    <x:row r="100">
      <x:c r="K100" s="18"/>
      <x:c r="L100" s="18"/>
      <x:c r="M100" s="18"/>
    </x:row>
    <x:row r="101">
      <x:c r="K101" s="18"/>
      <x:c r="L101" s="18"/>
      <x:c r="M101" s="18"/>
    </x:row>
    <x:row r="102">
      <x:c r="K102" s="18"/>
      <x:c r="L102" s="18"/>
      <x:c r="M102" s="18"/>
    </x:row>
    <x:row r="103">
      <x:c r="K103" s="18"/>
      <x:c r="L103" s="18"/>
      <x:c r="M103" s="18"/>
    </x:row>
    <x:row r="104">
      <x:c r="K104" s="18"/>
      <x:c r="L104" s="18"/>
      <x:c r="M104" s="18"/>
    </x:row>
    <x:row r="105">
      <x:c r="K105" s="18"/>
      <x:c r="L105" s="18"/>
      <x:c r="M105" s="18"/>
    </x:row>
    <x:row r="106">
      <x:c r="K106" s="18"/>
      <x:c r="L106" s="18"/>
      <x:c r="M106" s="18"/>
    </x:row>
    <x:row r="107">
      <x:c r="K107" s="18"/>
      <x:c r="L107" s="18"/>
      <x:c r="M107" s="18"/>
    </x:row>
    <x:row r="108">
      <x:c r="K108" s="18"/>
      <x:c r="L108" s="18"/>
      <x:c r="M108" s="18"/>
    </x:row>
    <x:row r="109">
      <x:c r="K109" s="18"/>
      <x:c r="L109" s="18"/>
      <x:c r="M109" s="18"/>
    </x:row>
    <x:row r="110">
      <x:c r="K110" s="18"/>
      <x:c r="L110" s="18"/>
      <x:c r="M110" s="18"/>
    </x:row>
    <x:row r="111">
      <x:c r="K111" s="18"/>
      <x:c r="L111" s="18"/>
      <x:c r="M111" s="18"/>
    </x:row>
    <x:row r="112">
      <x:c r="K112" s="18"/>
      <x:c r="L112" s="18"/>
      <x:c r="M112" s="18"/>
    </x:row>
    <x:row r="113">
      <x:c r="K113" s="18"/>
      <x:c r="L113" s="18"/>
      <x:c r="M113" s="18"/>
    </x:row>
    <x:row r="114">
      <x:c r="K114" s="18"/>
      <x:c r="L114" s="18"/>
      <x:c r="M114" s="18"/>
    </x:row>
    <x:row r="115">
      <x:c r="K115" s="18"/>
      <x:c r="L115" s="18"/>
      <x:c r="M115" s="18"/>
    </x:row>
    <x:row r="116">
      <x:c r="K116" s="18"/>
      <x:c r="L116" s="18"/>
      <x:c r="M116" s="18"/>
    </x:row>
    <x:row r="117">
      <x:c r="K117" s="18"/>
      <x:c r="L117" s="18"/>
      <x:c r="M117" s="18"/>
    </x:row>
    <x:row r="118">
      <x:c r="K118" s="18"/>
      <x:c r="L118" s="18"/>
      <x:c r="M118" s="18"/>
    </x:row>
    <x:row r="119">
      <x:c r="K119" s="18"/>
      <x:c r="L119" s="18"/>
      <x:c r="M119" s="18"/>
    </x:row>
    <x:row r="120">
      <x:c r="K120" s="18"/>
      <x:c r="L120" s="18"/>
      <x:c r="M120" s="18"/>
    </x:row>
    <x:row r="121">
      <x:c r="K121" s="18"/>
      <x:c r="L121" s="18"/>
      <x:c r="M121" s="18"/>
    </x:row>
    <x:row r="122">
      <x:c r="K122" s="18"/>
      <x:c r="L122" s="18"/>
      <x:c r="M122" s="18"/>
    </x:row>
    <x:row r="123">
      <x:c r="K123" s="18"/>
      <x:c r="L123" s="18"/>
      <x:c r="M123" s="18"/>
    </x:row>
    <x:row r="124">
      <x:c r="K124" s="18"/>
      <x:c r="L124" s="18"/>
      <x:c r="M124" s="18"/>
    </x:row>
    <x:row r="125">
      <x:c r="K125" s="18"/>
      <x:c r="L125" s="18"/>
      <x:c r="M125" s="18"/>
    </x:row>
    <x:row r="126">
      <x:c r="K126" s="18"/>
      <x:c r="L126" s="18"/>
      <x:c r="M126" s="18"/>
    </x:row>
    <x:row r="127">
      <x:c r="K127" s="18"/>
      <x:c r="L127" s="18"/>
      <x:c r="M127" s="18"/>
    </x:row>
    <x:row r="128">
      <x:c r="K128" s="18"/>
      <x:c r="L128" s="18"/>
      <x:c r="M128" s="18"/>
    </x:row>
    <x:row r="129">
      <x:c r="K129" s="18"/>
      <x:c r="L129" s="18"/>
      <x:c r="M129" s="18"/>
    </x:row>
    <x:row r="130">
      <x:c r="K130" s="18"/>
      <x:c r="L130" s="18"/>
      <x:c r="M130" s="18"/>
    </x:row>
    <x:row r="131">
      <x:c r="K131" s="18"/>
      <x:c r="L131" s="18"/>
      <x:c r="M131" s="18"/>
    </x:row>
    <x:row r="132">
      <x:c r="K132" s="18"/>
      <x:c r="L132" s="18"/>
      <x:c r="M132" s="18"/>
    </x:row>
    <x:row r="133">
      <x:c r="K133" s="18"/>
      <x:c r="L133" s="18"/>
      <x:c r="M133" s="18"/>
    </x:row>
    <x:row r="134">
      <x:c r="K134" s="18"/>
      <x:c r="L134" s="18"/>
      <x:c r="M134" s="18"/>
    </x:row>
    <x:row r="135">
      <x:c r="K135" s="18"/>
      <x:c r="L135" s="18"/>
      <x:c r="M135" s="18"/>
    </x:row>
    <x:row r="136">
      <x:c r="K136" s="18"/>
      <x:c r="L136" s="18"/>
      <x:c r="M136" s="18"/>
    </x:row>
    <x:row r="137">
      <x:c r="K137" s="18"/>
      <x:c r="L137" s="18"/>
      <x:c r="M137" s="18"/>
    </x:row>
    <x:row r="138">
      <x:c r="K138" s="18"/>
      <x:c r="L138" s="18"/>
      <x:c r="M138" s="18"/>
    </x:row>
    <x:row r="139">
      <x:c r="K139" s="18"/>
      <x:c r="L139" s="18"/>
      <x:c r="M139" s="18"/>
    </x:row>
    <x:row r="140">
      <x:c r="K140" s="18"/>
      <x:c r="L140" s="18"/>
      <x:c r="M140" s="18"/>
    </x:row>
    <x:row r="141">
      <x:c r="K141" s="18"/>
      <x:c r="L141" s="18"/>
      <x:c r="M141" s="18"/>
    </x:row>
    <x:row r="142">
      <x:c r="K142" s="18"/>
      <x:c r="L142" s="18"/>
      <x:c r="M142" s="18"/>
    </x:row>
    <x:row r="143">
      <x:c r="K143" s="18"/>
      <x:c r="L143" s="18"/>
      <x:c r="M143" s="18"/>
    </x:row>
    <x:row r="144">
      <x:c r="K144" s="18"/>
      <x:c r="L144" s="18"/>
      <x:c r="M144" s="18"/>
    </x:row>
    <x:row r="145">
      <x:c r="K145" s="18"/>
      <x:c r="L145" s="18"/>
      <x:c r="M145" s="18"/>
    </x:row>
    <x:row r="146">
      <x:c r="K146" s="18"/>
      <x:c r="L146" s="18"/>
      <x:c r="M146" s="18"/>
    </x:row>
    <x:row r="147">
      <x:c r="K147" s="18"/>
      <x:c r="L147" s="18"/>
      <x:c r="M147" s="18"/>
    </x:row>
    <x:row r="148">
      <x:c r="K148" s="18"/>
      <x:c r="L148" s="18"/>
      <x:c r="M148" s="18"/>
    </x:row>
    <x:row r="149">
      <x:c r="K149" s="18"/>
      <x:c r="L149" s="18"/>
      <x:c r="M149" s="18"/>
    </x:row>
    <x:row r="150">
      <x:c r="K150" s="18"/>
      <x:c r="L150" s="18"/>
      <x:c r="M150" s="18"/>
    </x:row>
    <x:row r="151">
      <x:c r="K151" s="18"/>
      <x:c r="L151" s="18"/>
      <x:c r="M151" s="18"/>
    </x:row>
    <x:row r="152">
      <x:c r="K152" s="18"/>
      <x:c r="L152" s="18"/>
      <x:c r="M152" s="18"/>
    </x:row>
    <x:row r="153">
      <x:c r="K153" s="18"/>
      <x:c r="L153" s="18"/>
      <x:c r="M153" s="18"/>
    </x:row>
    <x:row r="154">
      <x:c r="K154" s="18"/>
      <x:c r="L154" s="18"/>
      <x:c r="M154" s="18"/>
    </x:row>
    <x:row r="155">
      <x:c r="K155" s="18"/>
      <x:c r="L155" s="18"/>
      <x:c r="M155" s="18"/>
    </x:row>
    <x:row r="156">
      <x:c r="K156" s="18"/>
      <x:c r="L156" s="18"/>
      <x:c r="M156" s="18"/>
    </x:row>
    <x:row r="157">
      <x:c r="K157" s="18"/>
      <x:c r="L157" s="18"/>
      <x:c r="M157" s="18"/>
    </x:row>
    <x:row r="158">
      <x:c r="K158" s="18"/>
      <x:c r="L158" s="18"/>
      <x:c r="M158" s="18"/>
    </x:row>
    <x:row r="159">
      <x:c r="K159" s="18"/>
      <x:c r="L159" s="18"/>
      <x:c r="M159" s="18"/>
    </x:row>
    <x:row r="160">
      <x:c r="K160" s="18"/>
      <x:c r="L160" s="18"/>
      <x:c r="M160" s="18"/>
    </x:row>
    <x:row r="161">
      <x:c r="K161" s="18"/>
      <x:c r="L161" s="18"/>
      <x:c r="M161" s="18"/>
    </x:row>
    <x:row r="162">
      <x:c r="K162" s="18"/>
      <x:c r="L162" s="18"/>
      <x:c r="M162" s="18"/>
    </x:row>
    <x:row r="163">
      <x:c r="K163" s="18"/>
      <x:c r="L163" s="18"/>
      <x:c r="M163" s="18"/>
    </x:row>
    <x:row r="164">
      <x:c r="K164" s="18"/>
      <x:c r="L164" s="18"/>
      <x:c r="M164" s="18"/>
    </x:row>
    <x:row r="165">
      <x:c r="K165" s="18"/>
      <x:c r="L165" s="18"/>
      <x:c r="M165" s="18"/>
    </x:row>
    <x:row r="166">
      <x:c r="K166" s="18"/>
      <x:c r="L166" s="18"/>
      <x:c r="M166" s="18"/>
    </x:row>
    <x:row r="167">
      <x:c r="K167" s="18"/>
      <x:c r="L167" s="18"/>
      <x:c r="M167" s="18"/>
    </x:row>
    <x:row r="168">
      <x:c r="K168" s="18"/>
      <x:c r="L168" s="18"/>
      <x:c r="M168" s="18"/>
    </x:row>
    <x:row r="169">
      <x:c r="K169" s="18"/>
      <x:c r="L169" s="18"/>
      <x:c r="M169" s="18"/>
    </x:row>
    <x:row r="170">
      <x:c r="K170" s="18"/>
      <x:c r="L170" s="18"/>
      <x:c r="M170" s="18"/>
    </x:row>
    <x:row r="171">
      <x:c r="K171" s="18"/>
      <x:c r="L171" s="18"/>
      <x:c r="M171" s="18"/>
    </x:row>
    <x:row r="172">
      <x:c r="K172" s="18"/>
      <x:c r="L172" s="18"/>
      <x:c r="M172" s="18"/>
    </x:row>
    <x:row r="173">
      <x:c r="K173" s="18"/>
      <x:c r="L173" s="18"/>
      <x:c r="M173" s="18"/>
    </x:row>
    <x:row r="174">
      <x:c r="K174" s="18"/>
      <x:c r="L174" s="18"/>
      <x:c r="M174" s="18"/>
    </x:row>
    <x:row r="175">
      <x:c r="K175" s="18"/>
      <x:c r="L175" s="18"/>
      <x:c r="M175" s="18"/>
    </x:row>
    <x:row r="176">
      <x:c r="K176" s="18"/>
      <x:c r="L176" s="18"/>
      <x:c r="M176" s="18"/>
    </x:row>
    <x:row r="177">
      <x:c r="K177" s="18"/>
      <x:c r="L177" s="18"/>
      <x:c r="M177" s="18"/>
    </x:row>
    <x:row r="178">
      <x:c r="K178" s="18"/>
      <x:c r="L178" s="18"/>
      <x:c r="M178" s="18"/>
    </x:row>
    <x:row r="179">
      <x:c r="K179" s="18"/>
      <x:c r="L179" s="18"/>
      <x:c r="M179" s="18"/>
    </x:row>
    <x:row r="180">
      <x:c r="K180" s="18"/>
      <x:c r="L180" s="18"/>
      <x:c r="M180" s="18"/>
    </x:row>
    <x:row r="181">
      <x:c r="K181" s="18"/>
      <x:c r="L181" s="18"/>
      <x:c r="M181" s="18"/>
    </x:row>
    <x:row r="182">
      <x:c r="K182" s="18"/>
      <x:c r="L182" s="18"/>
      <x:c r="M182" s="18"/>
    </x:row>
    <x:row r="183">
      <x:c r="K183" s="18"/>
      <x:c r="L183" s="18"/>
      <x:c r="M183" s="18"/>
    </x:row>
    <x:row r="184">
      <x:c r="K184" s="18"/>
      <x:c r="L184" s="18"/>
      <x:c r="M184" s="18"/>
    </x:row>
    <x:row r="185">
      <x:c r="K185" s="18"/>
      <x:c r="L185" s="18"/>
      <x:c r="M185" s="18"/>
    </x:row>
    <x:row r="186">
      <x:c r="K186" s="18"/>
      <x:c r="L186" s="18"/>
      <x:c r="M186" s="18"/>
    </x:row>
    <x:row r="187">
      <x:c r="K187" s="18"/>
      <x:c r="L187" s="18"/>
      <x:c r="M187" s="18"/>
    </x:row>
    <x:row r="188">
      <x:c r="K188" s="18"/>
      <x:c r="L188" s="18"/>
      <x:c r="M188" s="18"/>
    </x:row>
    <x:row r="189">
      <x:c r="K189" s="18"/>
      <x:c r="L189" s="18"/>
      <x:c r="M189" s="18"/>
    </x:row>
    <x:row r="190">
      <x:c r="K190" s="18"/>
      <x:c r="L190" s="18"/>
      <x:c r="M190" s="18"/>
    </x:row>
    <x:row r="191">
      <x:c r="K191" s="18"/>
      <x:c r="L191" s="18"/>
      <x:c r="M191" s="18"/>
    </x:row>
    <x:row r="192">
      <x:c r="K192" s="18"/>
      <x:c r="L192" s="18"/>
      <x:c r="M192" s="18"/>
    </x:row>
    <x:row r="193">
      <x:c r="K193" s="18"/>
      <x:c r="L193" s="18"/>
      <x:c r="M193" s="18"/>
    </x:row>
    <x:row r="194">
      <x:c r="K194" s="18"/>
      <x:c r="L194" s="18"/>
      <x:c r="M194" s="18"/>
    </x:row>
    <x:row r="195">
      <x:c r="K195" s="18"/>
      <x:c r="L195" s="18"/>
      <x:c r="M195" s="18"/>
    </x:row>
    <x:row r="196">
      <x:c r="K196" s="18"/>
      <x:c r="L196" s="18"/>
      <x:c r="M196" s="18"/>
    </x:row>
    <x:row r="197">
      <x:c r="K197" s="18"/>
      <x:c r="L197" s="18"/>
      <x:c r="M197" s="18"/>
    </x:row>
    <x:row r="198">
      <x:c r="K198" s="18"/>
      <x:c r="L198" s="18"/>
      <x:c r="M198" s="18"/>
    </x:row>
    <x:row r="199">
      <x:c r="K199" s="18"/>
      <x:c r="L199" s="18"/>
      <x:c r="M199" s="18"/>
    </x:row>
    <x:row r="200">
      <x:c r="K200" s="18"/>
      <x:c r="L200" s="18"/>
      <x:c r="M200" s="18"/>
    </x:row>
    <x:row r="201">
      <x:c r="K201" s="18"/>
      <x:c r="L201" s="18"/>
      <x:c r="M201" s="18"/>
    </x:row>
    <x:row r="202">
      <x:c r="K202" s="18"/>
      <x:c r="L202" s="18"/>
      <x:c r="M202" s="18"/>
    </x:row>
    <x:row r="203">
      <x:c r="K203" s="18"/>
      <x:c r="L203" s="18"/>
      <x:c r="M203" s="18"/>
    </x:row>
    <x:row r="204">
      <x:c r="K204" s="18"/>
      <x:c r="L204" s="18"/>
      <x:c r="M204" s="18"/>
    </x:row>
    <x:row r="205">
      <x:c r="K205" s="18"/>
      <x:c r="L205" s="18"/>
      <x:c r="M205" s="18"/>
    </x:row>
  </x:sheetData>
  <x:mergeCells>
    <x:mergeCell ref="A1:N1"/>
    <x:mergeCell ref="A2:N2"/>
    <x:mergeCell ref="A4:N4"/>
  </x:mergeCells>
  <x:conditionalFormatting sqref="K6:K205">
    <x:cfRule type="containsText" dxfId="20" priority="1" operator="containsText" text="OK"/>
    <x:cfRule type="containsText" dxfId="21" priority="2" operator="containsText" text="NG"/>
    <x:cfRule type="containsText" dxfId="22" priority="3" operator="containsText" text="保留"/>
    <x:cfRule type="containsText" dxfId="23" priority="4" operator="containsText" text="対象外"/>
  </x:conditionalFormatting>
  <x:dataValidations count="2">
    <x:dataValidation type="list" sqref="K6:K205">
      <x:formula1>"未実施,OK,NG,保留,対象外"</x:formula1>
    </x:dataValidation>
    <x:dataValidation type="list" sqref="B6:B205">
      <x:formula1>"P0,P1,P2,P3"</x:formula1>
    </x:dataValidation>
  </x:dataValidations>
  <x:pageMargins left="0.7" right="0.7" top="0.75" bottom="0.75" header="0.3" footer="0.3"/>
  <x:tableParts count="1">
    <x:tablePart xmlns:r="http://schemas.openxmlformats.org/officeDocument/2006/relationships" r:id="Ra93c7d521e024e5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120" hidden="0" customWidth="1"/>
    <x:col min="4" max="4" width="46" hidden="0" customWidth="1"/>
  </x:cols>
  <x:sheetData>
    <x:row r="1" ht="30" customHeight="1">
      <x:c r="A1" s="3" t="str">
        <x:v>確認用SQL集</x:v>
      </x:c>
      <x:c r="B1" s="3"/>
      <x:c r="C1" s="3"/>
      <x:c r="D1" s="3"/>
    </x:row>
    <x:row r="2" ht="34" customHeight="1">
      <x:c r="A2" s="7" t="str">
        <x:v>伝票番号、JXログID、schedule_id、queue_idなどを差し替えて使用する。ローカルDB確認用。</x:v>
      </x:c>
      <x:c r="B2" s="7"/>
      <x:c r="C2" s="7"/>
      <x:c r="D2" s="7"/>
    </x:row>
    <x:row r="4">
      <x:c r="A4" s="23" t="str">
        <x:v>ID</x:v>
      </x:c>
      <x:c r="B4" s="23" t="str">
        <x:v>用途</x:v>
      </x:c>
      <x:c r="C4" s="23" t="str">
        <x:v>SQL</x:v>
      </x:c>
      <x:c r="D4" s="23" t="str">
        <x:v>確認ポイント</x:v>
      </x:c>
    </x:row>
    <x:row r="5" ht="260" customHeight="1">
      <x:c r="A5" s="21" t="str">
        <x:v>SQL-01</x:v>
      </x:c>
      <x:c r="B5" s="21" t="str">
        <x:v>JX受信ログ確認</x:v>
      </x:c>
      <x:c r="C5" s="21" t="str">
        <x:v>select l.id, l.jx_setting_id, s.name as jx_setting_name, l.message_id, l.direction, l.environment, l.operation_type, l.document_type, l.status, l.http_code, l.data_size, l.file_path, l.transmitted_at
from wms_jx_transmission_logs l
left join wms_order_jx_settings s on s.id = l.jx_setting_id
where l.id in (/* JXログID */)
order by l.id;</x:v>
      </x:c>
      <x:c r="D5" s="21" t="str">
        <x:v>direction=receive、operation_type=GetDocument、status=success、file_pathありを確認。</x:v>
      </x:c>
    </x:row>
    <x:row r="6" ht="260" customHeight="1">
      <x:c r="A6" s="21" t="str">
        <x:v>SQL-02</x:v>
      </x:c>
      <x:c r="B6" s="21" t="str">
        <x:v>受信ファイル/伝票/明細確認</x:v>
      </x:c>
      <x:c r="C6" s="21" t="str">
        <x:v>select f.id as file_id, f.received_message_id, f.format_type, f.status as file_status, f.raw_sha256,
       s.id as slip_id, s.slip_number, s.match_status as slip_status, s.b_shop_code, s.b_contractor_code, s.matched_schedule_id,
       d.id as detail_id, d.d_line_number, d.d_jan_code, d.d_item_code, d.d_pack_quantity, d.d_case_quantity, d.d_piece_quantity, d.d_unit_price,
       d.total_quantity, d.is_shortage, d.match_status as detail_status, d.matched_item_id, d.matched_schedule_id, d.expected_quantity
from wms_incoming_received_files f
join wms_incoming_received_slips s on s.received_file_id = f.id
join wms_incoming_received_details d on d.received_slip_id = s.id
where f.received_message_id = '/* message_id */'
   or s.slip_number in ('/* 伝票番号 */')
order by s.slip_number, d.d_line_number;</x:v>
      </x:c>
      <x:c r="D6" s="21" t="str">
        <x:v>match_status、総バラ数、matched_schedule_idを確認。</x:v>
      </x:c>
    </x:row>
    <x:row r="7" ht="260" customHeight="1">
      <x:c r="A7" s="21" t="str">
        <x:v>SQL-03</x:v>
      </x:c>
      <x:c r="B7" s="21" t="str">
        <x:v>入荷予定/入荷完了確認</x:v>
      </x:c>
      <x:c r="C7" s="21" t="str">
        <x:v>select ois.id, ois.status, ois.order_source, ois.slip_number, w.code as warehouse_code,
       c.code as contractor_code, c.name as contractor_name, ois.supplier_id,
       ois.item_id, ois.item_code, i.name as item_name, i.capacity_case,
       ois.quantity_type, ois.expected_quantity, ois.shipped_quantity, ois.received_quantity, ois.shortage_quantity,
       ois.order_date, ois.expected_arrival_date, ois.actual_arrival_date, ois.confirmed_at,
       ois.is_receive_matched, ois.price_type, ois.unit_price, ois.case_price, ois.partner_unit_price, ois.partner_case_price,
       ois.purchase_queue_id
from wms_order_incoming_schedules ois
left join warehouses w on w.id = ois.warehouse_id
left join contractors c on c.id = ois.contractor_id
left join items i on i.id = ois.item_id
where ois.slip_number in ('/* 伝票番号 */')
   or ois.id in (/* schedule_id */)
order by ois.slip_number, ois.item_id, ois.id;</x:v>
      </x:c>
      <x:c r="D7" s="21" t="str">
        <x:v>入荷確定結果、数量、単価、purchase_queue_idを確認。</x:v>
      </x:c>
    </x:row>
    <x:row r="8" ht="260" customHeight="1">
      <x:c r="A8" s="21" t="str">
        <x:v>SQL-04</x:v>
      </x:c>
      <x:c r="B8" s="21" t="str">
        <x:v>送信時伝票番号割当確認</x:v>
      </x:c>
      <x:c r="C8" s="21" t="str">
        <x:v>select a.id, a.slip_number, a.status, a.wms_order_jx_document_id, a.order_candidate_ids, a.created_at, a.updated_at
from wms_order_slip_number_assignments a
where a.slip_number in ('/* 伝票番号 */')
order by a.id desc;</x:v>
      </x:c>
      <x:c r="D8" s="21" t="str">
        <x:v>受信伝票番号が送信時割当に存在するか、候補IDが入っているかを確認。</x:v>
      </x:c>
    </x:row>
    <x:row r="9" ht="260" customHeight="1">
      <x:c r="A9" s="21" t="str">
        <x:v>SQL-05</x:v>
      </x:c>
      <x:c r="B9" s="21" t="str">
        <x:v>EOS正規化行/金額確認</x:v>
      </x:c>
      <x:c r="C9" s="21" t="str">
        <x:v>select b.id as batch_id, b.wms_jx_transmission_log_id, b.status, b.is_current, b.source_message_id,
       l.id as line_id, es.slip_number, l.line_number, l.jan_code, l.item_code, l.pack_quantity, l.case_quantity, l.piece_quantity,
       l.total_quantity, l.unit_price_raw, l.unit_price, l.amount, l.line_hash
from wms_jx_eos_import_batches b
join wms_jx_eos_lines l on l.import_batch_id = b.id
left join wms_jx_eos_slips es on es.id = l.slip_id
where b.wms_jx_transmission_log_id in (/* JXログID */)
   or es.slip_number in ('/* 伝票番号 */')
order by es.slip_number, l.line_number;</x:v>
      </x:c>
      <x:c r="D9" s="21" t="str">
        <x:v>total_quantity、unit_price、amountが受信明細と一致するか確認。</x:v>
      </x:c>
    </x:row>
    <x:row r="10" ht="260" customHeight="1">
      <x:c r="A10" s="21" t="str">
        <x:v>SQL-06</x:v>
      </x:c>
      <x:c r="B10" s="21" t="str">
        <x:v>単価相違原本確認</x:v>
      </x:c>
      <x:c r="C10" s="21" t="str">
        <x:v>select id, source_key, source_document_key, source_line_key, recorded_at,
       wms_jx_transmission_log_id, received_file_id, received_slip_id, received_detail_id, incoming_schedule_id,
       warehouse_code, contractor_code, contractor_name, supplier_id, item_id, item_code, item_name,
       slip_number, line_number, quantity_type, expected_quantity, received_total_quantity, received_pack_quantity, received_case_quantity, received_piece_quantity,
       sent_price_type, sent_unit_price_raw, sent_unit_price, sent_candidate_unit_price,
       master_unit_price, master_case_price, received_unit_price_raw, received_unit_price, received_amount,
       comparison_price_type, comparison_master_price, comparison_received_price, comparison_price_diff,
       current_price_mismatch, is_price_check_excluded, price_check_excluded_reason
from wms_incoming_price_check_sources
where slip_number in ('/* 伝票番号 */')
   or incoming_schedule_id in (/* schedule_id */)
order by slip_number, line_number, id;</x:v>
      </x:c>
      <x:c r="D10" s="21" t="str">
        <x:v>送信単価・受信単価・マスタ単価・金額・JSON原本の存在を確認。</x:v>
      </x:c>
    </x:row>
    <x:row r="11" ht="260" customHeight="1">
      <x:c r="A11" s="21" t="str">
        <x:v>SQL-07</x:v>
      </x:c>
      <x:c r="B11" s="21" t="str">
        <x:v>仕入キュー確認</x:v>
      </x:c>
      <x:c r="C11" s="21" t="str">
        <x:v>select id, request_uuid, slip_number, delivered_date, status, retry_count, created_at, updated_at, items
from purchase_create_queue
where slip_number in ('/* 伝票番号 */')
   or id in (/* queue_id */)
order by id desc;</x:v>
      </x:c>
      <x:c r="D11" s="21" t="str">
        <x:v>items内のsupplier_code、warehouse_code、slip_number、details[].quantity/quantity_type/shortage_quantityを確認。</x:v>
      </x:c>
    </x:row>
    <x:row r="12" ht="260" customHeight="1">
      <x:c r="A12" s="21" t="str">
        <x:v>SQL-08</x:v>
      </x:c>
      <x:c r="B12" s="21" t="str">
        <x:v>自動受信実行ログ確認</x:v>
      </x:c>
      <x:c r="C12" s="21" t="str">
        <x:v>select r.id, r.run_key, r.trigger_type, r.status, r.started_at, r.finished_at,
       r.received_jx_document_count, r.target_jx_log_count, r.eos_imported_count,
       r.incoming_matched_count, r.incoming_unmatched_count, r.incoming_confirmed_schedule_count,
       r.purchase_queue_count, r.purchase_transmitted_schedule_count,
       r.purchase_skipped_warehouse91_count, r.purchase_skipped_not_eos_sent_count,
       r.unknown_slip_count, r.shortage_completed_count, r.error_count, r.error_summary, r.metadata
from wms_eos_incoming_receive_runs r
where r.id in (/* run_id */)
   or r.run_key = '/* run_key */'
order by r.id desc;
select id, run_id, level, step, message, context, created_at
from wms_eos_incoming_receive_run_logs
where run_id in (/* run_id */)
order by id;</x:v>
      </x:c>
      <x:c r="D12" s="21" t="str">
        <x:v>受信・入荷確定・仕入生成の件数とエラー詳細を確認。</x:v>
      </x:c>
    </x:row>
    <x:row r="13" ht="260" customHeight="1">
      <x:c r="A13" s="21" t="str">
        <x:v>SQL-09</x:v>
      </x:c>
      <x:c r="B13" s="21" t="str">
        <x:v>伝票番号不明/未割当確認</x:v>
      </x:c>
      <x:c r="C13" s="21" t="str">
        <x:v>select s.id as slip_id, s.received_file_id, s.slip_number, s.match_status, s.b_shop_code, s.b_contractor_code,
       d.id as detail_id, d.d_line_number, d.d_jan_code, d.d_item_code, d.d_product_name, d.total_quantity, d.match_status as detail_status, d.matched_item_id,
       e.error_code, e.error_type, e.error_message
from wms_incoming_received_slips s
left join wms_incoming_received_details d on d.received_slip_id = s.id
left join wms_incoming_import_errors e on e.received_slip_id = s.id and (e.received_detail_id = d.id or e.received_detail_id is null)
where s.match_status in ('NO_ASSIGNMENT','NOT_FOUND')
  and s.slip_number in ('/* 伝票番号 */')
order by s.id, d.d_line_number, e.id;</x:v>
      </x:c>
      <x:c r="D13" s="21" t="str">
        <x:v>自動確定されない受信データを履歴として確認。</x:v>
      </x:c>
    </x:row>
    <x:row r="14" ht="260" customHeight="1">
      <x:c r="A14" s="21" t="str">
        <x:v>SQL-10</x:v>
      </x:c>
      <x:c r="B14" s="21" t="str">
        <x:v>重複検出</x:v>
      </x:c>
      <x:c r="C14" s="21" t="str">
        <x:v>select source_key, count(*) as cnt
from wms_incoming_price_check_sources
group by source_key
having count(*) &gt; 1;
select slip_number, delivered_date, items, count(*) as cnt
from purchase_create_queue
where slip_number in ('/* 伝票番号 */')
group by slip_number, delivered_date, items
having count(*) &gt; 1;</x:v>
      </x:c>
      <x:c r="D14" s="21" t="str">
        <x:v>source_key重複、同一仕入キュー重複が0件であること。</x:v>
      </x:c>
    </x:row>
    <x:row r="15" ht="260" customHeight="1">
      <x:c r="A15" s="21" t="str">
        <x:v>SQL-11</x:v>
      </x:c>
      <x:c r="B15" s="21" t="str">
        <x:v>仕入先コード解決確認</x:v>
      </x:c>
      <x:c r="C15" s="21" t="str">
        <x:v>select ois.id, ois.slip_number, ois.contractor_id, c.code as contractor_code, c.name as contractor_name,
       ois.supplier_id, p.code as supplier_code, p.name as supplier_name,
       ois.is_receive_matched, ois.order_source
from wms_order_incoming_schedules ois
left join contractors c on c.id = ois.contractor_id
left join suppliers su on su.id = ois.supplier_id
left join partners p on p.id = su.partner_id
where ois.slip_number in ('/* 伝票番号 */')
   or ois.id in (/* schedule_id */)
order by ois.id;</x:v>
      </x:c>
      <x:c r="D15" s="21" t="str">
        <x:v>受信確定済みはsupplier_idが必須。不明仕入先になっていないか確認。</x:v>
      </x:c>
    </x:row>
    <x:row r="16" ht="260" customHeight="1">
      <x:c r="A16" s="21" t="str">
        <x:v>SQL-12</x:v>
      </x:c>
      <x:c r="B16" s="21" t="str">
        <x:v>数量正規化の参照確認</x:v>
      </x:c>
      <x:c r="C16" s="21" t="str">
        <x:v>select d.id as detail_id, d.d_jan_code, d.d_item_code, d.d_pack_quantity, d.d_case_quantity, d.d_piece_quantity, d.total_quantity,
       isi.search_string, iqi.quantity as ordering_unit_quantity, i.capacity_case,
       case when iqi.quantity is not null and iqi.quantity &gt; 1 and (i.capacity_case is null or iqi.quantity &lt;&gt; i.capacity_case)
            then ((d.d_case_quantity * d.d_pack_quantity) + d.d_piece_quantity) * iqi.quantity
            else ((d.d_case_quantity * d.d_pack_quantity) + d.d_piece_quantity)
       end as expected_normalized_total
from wms_incoming_received_details d
left join item_search_information isi on isi.search_string in (d.d_jan_code, ltrim(d.d_jan_code, '0')) and isi.is_active = 1
left join item_quantity_information iqi on iqi.id = isi.item_quantity_information_id
left join items i on i.id = isi.item_id
where d.received_file_id in (/* received_file_id */)
order by d.id;</x:v>
      </x:c>
      <x:c r="D16" s="21" t="str">
        <x:v>6缶/4缶などのordering_unit_quantityによるtotal_quantityを確認。</x:v>
      </x:c>
    </x:row>
  </x:sheetData>
  <x:mergeCells>
    <x:mergeCell ref="A1:D1"/>
    <x:mergeCell ref="A2:D2"/>
  </x:mergeCells>
  <x:pageMargins left="0.7" right="0.7" top="0.75" bottom="0.75" header="0.3" footer="0.3"/>
  <x:tableParts count="1">
    <x:tablePart xmlns:r="http://schemas.openxmlformats.org/officeDocument/2006/relationships" r:id="R467e3733be984ea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14" hidden="0" customWidth="1"/>
    <x:col min="4" max="4" width="10" hidden="0" customWidth="1"/>
    <x:col min="5" max="5" width="18" hidden="0" customWidth="1"/>
    <x:col min="6" max="6" width="16" hidden="0" customWidth="1"/>
    <x:col min="7" max="7" width="20" hidden="0" customWidth="1"/>
    <x:col min="8" max="8" width="16" hidden="0" customWidth="1"/>
    <x:col min="9" max="9" width="16" hidden="0" customWidth="1"/>
    <x:col min="10" max="10" width="42" hidden="0" customWidth="1"/>
    <x:col min="11" max="11" width="42" hidden="0" customWidth="1"/>
    <x:col min="12" max="12" width="18" hidden="0" customWidth="1"/>
  </x:cols>
  <x:sheetData>
    <x:row r="1" ht="30" customHeight="1">
      <x:c r="A1" s="3" t="str">
        <x:v>テスト実施結果記録</x:v>
      </x:c>
      <x:c r="B1" s="3"/>
      <x:c r="C1" s="3"/>
      <x:c r="D1" s="3"/>
      <x:c r="E1" s="3"/>
      <x:c r="F1" s="3"/>
      <x:c r="G1" s="3"/>
      <x:c r="H1" s="3"/>
      <x:c r="I1" s="3"/>
      <x:c r="J1" s="3"/>
      <x:c r="K1" s="3"/>
      <x:c r="L1" s="3"/>
    </x:row>
    <x:row r="2" ht="34" customHeight="1">
      <x:c r="A2" s="7" t="str">
        <x:v>NG/保留/再確認が必要な結果を転記する。JXログID、伝票番号、schedule_id、queue_idを残すと再現確認しやすい。</x:v>
      </x:c>
      <x:c r="B2" s="7"/>
      <x:c r="C2" s="7"/>
      <x:c r="D2" s="7"/>
      <x:c r="E2" s="7"/>
      <x:c r="F2" s="7"/>
      <x:c r="G2" s="7"/>
      <x:c r="H2" s="7"/>
      <x:c r="I2" s="7"/>
      <x:c r="J2" s="7"/>
      <x:c r="K2" s="7"/>
      <x:c r="L2" s="7"/>
    </x:row>
    <x:row r="4">
      <x:c r="A4" s="22" t="str">
        <x:v>実施日時</x:v>
      </x:c>
      <x:c r="B4" s="22" t="str">
        <x:v>実施者</x:v>
      </x:c>
      <x:c r="C4" s="22" t="str">
        <x:v>テストID</x:v>
      </x:c>
      <x:c r="D4" s="22" t="str">
        <x:v>結果</x:v>
      </x:c>
      <x:c r="E4" s="22" t="str">
        <x:v>仕入先</x:v>
      </x:c>
      <x:c r="F4" s="22" t="str">
        <x:v>JXログID</x:v>
      </x:c>
      <x:c r="G4" s="22" t="str">
        <x:v>伝票番号</x:v>
      </x:c>
      <x:c r="H4" s="22" t="str">
        <x:v>入荷予定ID</x:v>
      </x:c>
      <x:c r="I4" s="22" t="str">
        <x:v>仕入キューID</x:v>
      </x:c>
      <x:c r="J4" s="22" t="str">
        <x:v>確認内容</x:v>
      </x:c>
      <x:c r="K4" s="22" t="str">
        <x:v>発見事項</x:v>
      </x:c>
      <x:c r="L4" s="22" t="str">
        <x:v>対応ステータス</x:v>
      </x:c>
    </x:row>
    <x:row r="5" ht="58" customHeight="1">
      <x:c r="A5" s="16" t="str"/>
      <x:c r="B5" s="16" t="str"/>
      <x:c r="C5" s="16" t="str"/>
      <x:c r="D5" s="16" t="str"/>
      <x:c r="E5" s="16" t="str"/>
      <x:c r="F5" s="16" t="str"/>
      <x:c r="G5" s="16" t="str"/>
      <x:c r="H5" s="16" t="str"/>
      <x:c r="I5" s="16" t="str"/>
      <x:c r="J5" s="16" t="str"/>
      <x:c r="K5" s="16" t="str"/>
      <x:c r="L5" s="16" t="str"/>
    </x:row>
    <x:row r="6" ht="58" customHeight="1">
      <x:c r="A6" s="16" t="str"/>
      <x:c r="B6" s="16" t="str"/>
      <x:c r="C6" s="16" t="str"/>
      <x:c r="D6" s="16" t="str"/>
      <x:c r="E6" s="16" t="str"/>
      <x:c r="F6" s="16" t="str"/>
      <x:c r="G6" s="16" t="str"/>
      <x:c r="H6" s="16" t="str"/>
      <x:c r="I6" s="16" t="str"/>
      <x:c r="J6" s="16" t="str"/>
      <x:c r="K6" s="16" t="str"/>
      <x:c r="L6" s="16" t="str"/>
    </x:row>
    <x:row r="7" ht="58" customHeight="1">
      <x:c r="A7" s="16" t="str"/>
      <x:c r="B7" s="16" t="str"/>
      <x:c r="C7" s="16" t="str"/>
      <x:c r="D7" s="16" t="str"/>
      <x:c r="E7" s="16" t="str"/>
      <x:c r="F7" s="16" t="str"/>
      <x:c r="G7" s="16" t="str"/>
      <x:c r="H7" s="16" t="str"/>
      <x:c r="I7" s="16" t="str"/>
      <x:c r="J7" s="16" t="str"/>
      <x:c r="K7" s="16" t="str"/>
      <x:c r="L7" s="16" t="str"/>
    </x:row>
    <x:row r="8" ht="58" customHeight="1">
      <x:c r="A8" s="16" t="str"/>
      <x:c r="B8" s="16" t="str"/>
      <x:c r="C8" s="16" t="str"/>
      <x:c r="D8" s="16" t="str"/>
      <x:c r="E8" s="16" t="str"/>
      <x:c r="F8" s="16" t="str"/>
      <x:c r="G8" s="16" t="str"/>
      <x:c r="H8" s="16" t="str"/>
      <x:c r="I8" s="16" t="str"/>
      <x:c r="J8" s="16" t="str"/>
      <x:c r="K8" s="16" t="str"/>
      <x:c r="L8" s="16" t="str"/>
    </x:row>
    <x:row r="9" ht="58" customHeight="1">
      <x:c r="A9" s="16" t="str"/>
      <x:c r="B9" s="16" t="str"/>
      <x:c r="C9" s="16" t="str"/>
      <x:c r="D9" s="16" t="str"/>
      <x:c r="E9" s="16" t="str"/>
      <x:c r="F9" s="16" t="str"/>
      <x:c r="G9" s="16" t="str"/>
      <x:c r="H9" s="16" t="str"/>
      <x:c r="I9" s="16" t="str"/>
      <x:c r="J9" s="16" t="str"/>
      <x:c r="K9" s="16" t="str"/>
      <x:c r="L9" s="16" t="str"/>
    </x:row>
    <x:row r="10" ht="58" customHeight="1">
      <x:c r="A10" s="16" t="str"/>
      <x:c r="B10" s="16" t="str"/>
      <x:c r="C10" s="16" t="str"/>
      <x:c r="D10" s="16" t="str"/>
      <x:c r="E10" s="16" t="str"/>
      <x:c r="F10" s="16" t="str"/>
      <x:c r="G10" s="16" t="str"/>
      <x:c r="H10" s="16" t="str"/>
      <x:c r="I10" s="16" t="str"/>
      <x:c r="J10" s="16" t="str"/>
      <x:c r="K10" s="16" t="str"/>
      <x:c r="L10" s="16" t="str"/>
    </x:row>
    <x:row r="11" ht="58" customHeight="1">
      <x:c r="A11" s="16" t="str"/>
      <x:c r="B11" s="16" t="str"/>
      <x:c r="C11" s="16" t="str"/>
      <x:c r="D11" s="16" t="str"/>
      <x:c r="E11" s="16" t="str"/>
      <x:c r="F11" s="16" t="str"/>
      <x:c r="G11" s="16" t="str"/>
      <x:c r="H11" s="16" t="str"/>
      <x:c r="I11" s="16" t="str"/>
      <x:c r="J11" s="16" t="str"/>
      <x:c r="K11" s="16" t="str"/>
      <x:c r="L11" s="16" t="str"/>
    </x:row>
    <x:row r="12" ht="58" customHeight="1">
      <x:c r="A12" s="16" t="str"/>
      <x:c r="B12" s="16" t="str"/>
      <x:c r="C12" s="16" t="str"/>
      <x:c r="D12" s="16" t="str"/>
      <x:c r="E12" s="16" t="str"/>
      <x:c r="F12" s="16" t="str"/>
      <x:c r="G12" s="16" t="str"/>
      <x:c r="H12" s="16" t="str"/>
      <x:c r="I12" s="16" t="str"/>
      <x:c r="J12" s="16" t="str"/>
      <x:c r="K12" s="16" t="str"/>
      <x:c r="L12" s="16" t="str"/>
    </x:row>
    <x:row r="13" ht="58" customHeight="1">
      <x:c r="A13" s="16" t="str"/>
      <x:c r="B13" s="16" t="str"/>
      <x:c r="C13" s="16" t="str"/>
      <x:c r="D13" s="16" t="str"/>
      <x:c r="E13" s="16" t="str"/>
      <x:c r="F13" s="16" t="str"/>
      <x:c r="G13" s="16" t="str"/>
      <x:c r="H13" s="16" t="str"/>
      <x:c r="I13" s="16" t="str"/>
      <x:c r="J13" s="16" t="str"/>
      <x:c r="K13" s="16" t="str"/>
      <x:c r="L13" s="16" t="str"/>
    </x:row>
    <x:row r="14" ht="58" customHeight="1">
      <x:c r="A14" s="16" t="str"/>
      <x:c r="B14" s="16" t="str"/>
      <x:c r="C14" s="16" t="str"/>
      <x:c r="D14" s="16" t="str"/>
      <x:c r="E14" s="16" t="str"/>
      <x:c r="F14" s="16" t="str"/>
      <x:c r="G14" s="16" t="str"/>
      <x:c r="H14" s="16" t="str"/>
      <x:c r="I14" s="16" t="str"/>
      <x:c r="J14" s="16" t="str"/>
      <x:c r="K14" s="16" t="str"/>
      <x:c r="L14" s="16" t="str"/>
    </x:row>
    <x:row r="15" ht="58" customHeight="1">
      <x:c r="A15" s="16" t="str"/>
      <x:c r="B15" s="16" t="str"/>
      <x:c r="C15" s="16" t="str"/>
      <x:c r="D15" s="16" t="str"/>
      <x:c r="E15" s="16" t="str"/>
      <x:c r="F15" s="16" t="str"/>
      <x:c r="G15" s="16" t="str"/>
      <x:c r="H15" s="16" t="str"/>
      <x:c r="I15" s="16" t="str"/>
      <x:c r="J15" s="16" t="str"/>
      <x:c r="K15" s="16" t="str"/>
      <x:c r="L15" s="16" t="str"/>
    </x:row>
    <x:row r="16" ht="58" customHeight="1">
      <x:c r="A16" s="16" t="str"/>
      <x:c r="B16" s="16" t="str"/>
      <x:c r="C16" s="16" t="str"/>
      <x:c r="D16" s="16" t="str"/>
      <x:c r="E16" s="16" t="str"/>
      <x:c r="F16" s="16" t="str"/>
      <x:c r="G16" s="16" t="str"/>
      <x:c r="H16" s="16" t="str"/>
      <x:c r="I16" s="16" t="str"/>
      <x:c r="J16" s="16" t="str"/>
      <x:c r="K16" s="16" t="str"/>
      <x:c r="L16" s="16" t="str"/>
    </x:row>
    <x:row r="17" ht="58" customHeight="1">
      <x:c r="A17" s="16" t="str"/>
      <x:c r="B17" s="16" t="str"/>
      <x:c r="C17" s="16" t="str"/>
      <x:c r="D17" s="16" t="str"/>
      <x:c r="E17" s="16" t="str"/>
      <x:c r="F17" s="16" t="str"/>
      <x:c r="G17" s="16" t="str"/>
      <x:c r="H17" s="16" t="str"/>
      <x:c r="I17" s="16" t="str"/>
      <x:c r="J17" s="16" t="str"/>
      <x:c r="K17" s="16" t="str"/>
      <x:c r="L17" s="16" t="str"/>
    </x:row>
    <x:row r="18" ht="58" customHeight="1">
      <x:c r="A18" s="16" t="str"/>
      <x:c r="B18" s="16" t="str"/>
      <x:c r="C18" s="16" t="str"/>
      <x:c r="D18" s="16" t="str"/>
      <x:c r="E18" s="16" t="str"/>
      <x:c r="F18" s="16" t="str"/>
      <x:c r="G18" s="16" t="str"/>
      <x:c r="H18" s="16" t="str"/>
      <x:c r="I18" s="16" t="str"/>
      <x:c r="J18" s="16" t="str"/>
      <x:c r="K18" s="16" t="str"/>
      <x:c r="L18" s="16" t="str"/>
    </x:row>
    <x:row r="19" ht="58" customHeight="1">
      <x:c r="A19" s="16" t="str"/>
      <x:c r="B19" s="16" t="str"/>
      <x:c r="C19" s="16" t="str"/>
      <x:c r="D19" s="16" t="str"/>
      <x:c r="E19" s="16" t="str"/>
      <x:c r="F19" s="16" t="str"/>
      <x:c r="G19" s="16" t="str"/>
      <x:c r="H19" s="16" t="str"/>
      <x:c r="I19" s="16" t="str"/>
      <x:c r="J19" s="16" t="str"/>
      <x:c r="K19" s="16" t="str"/>
      <x:c r="L19" s="16" t="str"/>
    </x:row>
    <x:row r="20" ht="58" customHeight="1">
      <x:c r="A20" s="16" t="str"/>
      <x:c r="B20" s="16" t="str"/>
      <x:c r="C20" s="16" t="str"/>
      <x:c r="D20" s="16" t="str"/>
      <x:c r="E20" s="16" t="str"/>
      <x:c r="F20" s="16" t="str"/>
      <x:c r="G20" s="16" t="str"/>
      <x:c r="H20" s="16" t="str"/>
      <x:c r="I20" s="16" t="str"/>
      <x:c r="J20" s="16" t="str"/>
      <x:c r="K20" s="16" t="str"/>
      <x:c r="L20" s="16" t="str"/>
    </x:row>
    <x:row r="21" ht="58" customHeight="1">
      <x:c r="A21" s="16" t="str"/>
      <x:c r="B21" s="16" t="str"/>
      <x:c r="C21" s="16" t="str"/>
      <x:c r="D21" s="16" t="str"/>
      <x:c r="E21" s="16" t="str"/>
      <x:c r="F21" s="16" t="str"/>
      <x:c r="G21" s="16" t="str"/>
      <x:c r="H21" s="16" t="str"/>
      <x:c r="I21" s="16" t="str"/>
      <x:c r="J21" s="16" t="str"/>
      <x:c r="K21" s="16" t="str"/>
      <x:c r="L21" s="16" t="str"/>
    </x:row>
    <x:row r="22" ht="58" customHeight="1">
      <x:c r="A22" s="16" t="str"/>
      <x:c r="B22" s="16" t="str"/>
      <x:c r="C22" s="16" t="str"/>
      <x:c r="D22" s="16" t="str"/>
      <x:c r="E22" s="16" t="str"/>
      <x:c r="F22" s="16" t="str"/>
      <x:c r="G22" s="16" t="str"/>
      <x:c r="H22" s="16" t="str"/>
      <x:c r="I22" s="16" t="str"/>
      <x:c r="J22" s="16" t="str"/>
      <x:c r="K22" s="16" t="str"/>
      <x:c r="L22" s="16" t="str"/>
    </x:row>
    <x:row r="23" ht="58" customHeight="1">
      <x:c r="A23" s="16" t="str"/>
      <x:c r="B23" s="16" t="str"/>
      <x:c r="C23" s="16" t="str"/>
      <x:c r="D23" s="16" t="str"/>
      <x:c r="E23" s="16" t="str"/>
      <x:c r="F23" s="16" t="str"/>
      <x:c r="G23" s="16" t="str"/>
      <x:c r="H23" s="16" t="str"/>
      <x:c r="I23" s="16" t="str"/>
      <x:c r="J23" s="16" t="str"/>
      <x:c r="K23" s="16" t="str"/>
      <x:c r="L23" s="16" t="str"/>
    </x:row>
    <x:row r="24" ht="58" customHeight="1">
      <x:c r="A24" s="16" t="str"/>
      <x:c r="B24" s="16" t="str"/>
      <x:c r="C24" s="16" t="str"/>
      <x:c r="D24" s="16" t="str"/>
      <x:c r="E24" s="16" t="str"/>
      <x:c r="F24" s="16" t="str"/>
      <x:c r="G24" s="16" t="str"/>
      <x:c r="H24" s="16" t="str"/>
      <x:c r="I24" s="16" t="str"/>
      <x:c r="J24" s="16" t="str"/>
      <x:c r="K24" s="16" t="str"/>
      <x:c r="L24" s="16" t="str"/>
    </x:row>
    <x:row r="25" ht="58" customHeight="1">
      <x:c r="A25" s="16" t="str"/>
      <x:c r="B25" s="16" t="str"/>
      <x:c r="C25" s="16" t="str"/>
      <x:c r="D25" s="16" t="str"/>
      <x:c r="E25" s="16" t="str"/>
      <x:c r="F25" s="16" t="str"/>
      <x:c r="G25" s="16" t="str"/>
      <x:c r="H25" s="16" t="str"/>
      <x:c r="I25" s="16" t="str"/>
      <x:c r="J25" s="16" t="str"/>
      <x:c r="K25" s="16" t="str"/>
      <x:c r="L25" s="16" t="str"/>
    </x:row>
    <x:row r="26" ht="58" customHeight="1">
      <x:c r="A26" s="16" t="str"/>
      <x:c r="B26" s="16" t="str"/>
      <x:c r="C26" s="16" t="str"/>
      <x:c r="D26" s="16" t="str"/>
      <x:c r="E26" s="16" t="str"/>
      <x:c r="F26" s="16" t="str"/>
      <x:c r="G26" s="16" t="str"/>
      <x:c r="H26" s="16" t="str"/>
      <x:c r="I26" s="16" t="str"/>
      <x:c r="J26" s="16" t="str"/>
      <x:c r="K26" s="16" t="str"/>
      <x:c r="L26" s="16" t="str"/>
    </x:row>
    <x:row r="27" ht="58" customHeight="1">
      <x:c r="A27" s="16" t="str"/>
      <x:c r="B27" s="16" t="str"/>
      <x:c r="C27" s="16" t="str"/>
      <x:c r="D27" s="16" t="str"/>
      <x:c r="E27" s="16" t="str"/>
      <x:c r="F27" s="16" t="str"/>
      <x:c r="G27" s="16" t="str"/>
      <x:c r="H27" s="16" t="str"/>
      <x:c r="I27" s="16" t="str"/>
      <x:c r="J27" s="16" t="str"/>
      <x:c r="K27" s="16" t="str"/>
      <x:c r="L27" s="16" t="str"/>
    </x:row>
    <x:row r="28" ht="58" customHeight="1">
      <x:c r="A28" s="16" t="str"/>
      <x:c r="B28" s="16" t="str"/>
      <x:c r="C28" s="16" t="str"/>
      <x:c r="D28" s="16" t="str"/>
      <x:c r="E28" s="16" t="str"/>
      <x:c r="F28" s="16" t="str"/>
      <x:c r="G28" s="16" t="str"/>
      <x:c r="H28" s="16" t="str"/>
      <x:c r="I28" s="16" t="str"/>
      <x:c r="J28" s="16" t="str"/>
      <x:c r="K28" s="16" t="str"/>
      <x:c r="L28" s="16" t="str"/>
    </x:row>
    <x:row r="29" ht="58" customHeight="1">
      <x:c r="A29" s="16" t="str"/>
      <x:c r="B29" s="16" t="str"/>
      <x:c r="C29" s="16" t="str"/>
      <x:c r="D29" s="16" t="str"/>
      <x:c r="E29" s="16" t="str"/>
      <x:c r="F29" s="16" t="str"/>
      <x:c r="G29" s="16" t="str"/>
      <x:c r="H29" s="16" t="str"/>
      <x:c r="I29" s="16" t="str"/>
      <x:c r="J29" s="16" t="str"/>
      <x:c r="K29" s="16" t="str"/>
      <x:c r="L29" s="16" t="str"/>
    </x:row>
    <x:row r="30" ht="58" customHeight="1">
      <x:c r="A30" s="16" t="str"/>
      <x:c r="B30" s="16" t="str"/>
      <x:c r="C30" s="16" t="str"/>
      <x:c r="D30" s="16" t="str"/>
      <x:c r="E30" s="16" t="str"/>
      <x:c r="F30" s="16" t="str"/>
      <x:c r="G30" s="16" t="str"/>
      <x:c r="H30" s="16" t="str"/>
      <x:c r="I30" s="16" t="str"/>
      <x:c r="J30" s="16" t="str"/>
      <x:c r="K30" s="16" t="str"/>
      <x:c r="L30" s="16" t="str"/>
    </x:row>
    <x:row r="31" ht="58" customHeight="1">
      <x:c r="A31" s="16" t="str"/>
      <x:c r="B31" s="16" t="str"/>
      <x:c r="C31" s="16" t="str"/>
      <x:c r="D31" s="16" t="str"/>
      <x:c r="E31" s="16" t="str"/>
      <x:c r="F31" s="16" t="str"/>
      <x:c r="G31" s="16" t="str"/>
      <x:c r="H31" s="16" t="str"/>
      <x:c r="I31" s="16" t="str"/>
      <x:c r="J31" s="16" t="str"/>
      <x:c r="K31" s="16" t="str"/>
      <x:c r="L31" s="16" t="str"/>
    </x:row>
    <x:row r="32" ht="58" customHeight="1">
      <x:c r="A32" s="16" t="str"/>
      <x:c r="B32" s="16" t="str"/>
      <x:c r="C32" s="16" t="str"/>
      <x:c r="D32" s="16" t="str"/>
      <x:c r="E32" s="16" t="str"/>
      <x:c r="F32" s="16" t="str"/>
      <x:c r="G32" s="16" t="str"/>
      <x:c r="H32" s="16" t="str"/>
      <x:c r="I32" s="16" t="str"/>
      <x:c r="J32" s="16" t="str"/>
      <x:c r="K32" s="16" t="str"/>
      <x:c r="L32" s="16" t="str"/>
    </x:row>
    <x:row r="33" ht="58" customHeight="1">
      <x:c r="A33" s="16" t="str"/>
      <x:c r="B33" s="16" t="str"/>
      <x:c r="C33" s="16" t="str"/>
      <x:c r="D33" s="16" t="str"/>
      <x:c r="E33" s="16" t="str"/>
      <x:c r="F33" s="16" t="str"/>
      <x:c r="G33" s="16" t="str"/>
      <x:c r="H33" s="16" t="str"/>
      <x:c r="I33" s="16" t="str"/>
      <x:c r="J33" s="16" t="str"/>
      <x:c r="K33" s="16" t="str"/>
      <x:c r="L33" s="16" t="str"/>
    </x:row>
    <x:row r="34" ht="58" customHeight="1">
      <x:c r="A34" s="16" t="str"/>
      <x:c r="B34" s="16" t="str"/>
      <x:c r="C34" s="16" t="str"/>
      <x:c r="D34" s="16" t="str"/>
      <x:c r="E34" s="16" t="str"/>
      <x:c r="F34" s="16" t="str"/>
      <x:c r="G34" s="16" t="str"/>
      <x:c r="H34" s="16" t="str"/>
      <x:c r="I34" s="16" t="str"/>
      <x:c r="J34" s="16" t="str"/>
      <x:c r="K34" s="16" t="str"/>
      <x:c r="L34" s="16" t="str"/>
    </x:row>
    <x:row r="35" ht="58" customHeight="1">
      <x:c r="A35" s="16" t="str"/>
      <x:c r="B35" s="16" t="str"/>
      <x:c r="C35" s="16" t="str"/>
      <x:c r="D35" s="16" t="str"/>
      <x:c r="E35" s="16" t="str"/>
      <x:c r="F35" s="16" t="str"/>
      <x:c r="G35" s="16" t="str"/>
      <x:c r="H35" s="16" t="str"/>
      <x:c r="I35" s="16" t="str"/>
      <x:c r="J35" s="16" t="str"/>
      <x:c r="K35" s="16" t="str"/>
      <x:c r="L35" s="16" t="str"/>
    </x:row>
    <x:row r="36" ht="58" customHeight="1">
      <x:c r="A36" s="16" t="str"/>
      <x:c r="B36" s="16" t="str"/>
      <x:c r="C36" s="16" t="str"/>
      <x:c r="D36" s="16" t="str"/>
      <x:c r="E36" s="16" t="str"/>
      <x:c r="F36" s="16" t="str"/>
      <x:c r="G36" s="16" t="str"/>
      <x:c r="H36" s="16" t="str"/>
      <x:c r="I36" s="16" t="str"/>
      <x:c r="J36" s="16" t="str"/>
      <x:c r="K36" s="16" t="str"/>
      <x:c r="L36" s="16" t="str"/>
    </x:row>
    <x:row r="37" ht="58" customHeight="1">
      <x:c r="A37" s="16" t="str"/>
      <x:c r="B37" s="16" t="str"/>
      <x:c r="C37" s="16" t="str"/>
      <x:c r="D37" s="16" t="str"/>
      <x:c r="E37" s="16" t="str"/>
      <x:c r="F37" s="16" t="str"/>
      <x:c r="G37" s="16" t="str"/>
      <x:c r="H37" s="16" t="str"/>
      <x:c r="I37" s="16" t="str"/>
      <x:c r="J37" s="16" t="str"/>
      <x:c r="K37" s="16" t="str"/>
      <x:c r="L37" s="16" t="str"/>
    </x:row>
    <x:row r="38" ht="58" customHeight="1">
      <x:c r="A38" s="16" t="str"/>
      <x:c r="B38" s="16" t="str"/>
      <x:c r="C38" s="16" t="str"/>
      <x:c r="D38" s="16" t="str"/>
      <x:c r="E38" s="16" t="str"/>
      <x:c r="F38" s="16" t="str"/>
      <x:c r="G38" s="16" t="str"/>
      <x:c r="H38" s="16" t="str"/>
      <x:c r="I38" s="16" t="str"/>
      <x:c r="J38" s="16" t="str"/>
      <x:c r="K38" s="16" t="str"/>
      <x:c r="L38" s="16" t="str"/>
    </x:row>
    <x:row r="39" ht="58" customHeight="1">
      <x:c r="A39" s="16" t="str"/>
      <x:c r="B39" s="16" t="str"/>
      <x:c r="C39" s="16" t="str"/>
      <x:c r="D39" s="16" t="str"/>
      <x:c r="E39" s="16" t="str"/>
      <x:c r="F39" s="16" t="str"/>
      <x:c r="G39" s="16" t="str"/>
      <x:c r="H39" s="16" t="str"/>
      <x:c r="I39" s="16" t="str"/>
      <x:c r="J39" s="16" t="str"/>
      <x:c r="K39" s="16" t="str"/>
      <x:c r="L39" s="16" t="str"/>
    </x:row>
    <x:row r="40" ht="58" customHeight="1">
      <x:c r="A40" s="16" t="str"/>
      <x:c r="B40" s="16" t="str"/>
      <x:c r="C40" s="16" t="str"/>
      <x:c r="D40" s="16" t="str"/>
      <x:c r="E40" s="16" t="str"/>
      <x:c r="F40" s="16" t="str"/>
      <x:c r="G40" s="16" t="str"/>
      <x:c r="H40" s="16" t="str"/>
      <x:c r="I40" s="16" t="str"/>
      <x:c r="J40" s="16" t="str"/>
      <x:c r="K40" s="16" t="str"/>
      <x:c r="L40" s="16" t="str"/>
    </x:row>
    <x:row r="41" ht="58" customHeight="1">
      <x:c r="A41" s="16" t="str"/>
      <x:c r="B41" s="16" t="str"/>
      <x:c r="C41" s="16" t="str"/>
      <x:c r="D41" s="16" t="str"/>
      <x:c r="E41" s="16" t="str"/>
      <x:c r="F41" s="16" t="str"/>
      <x:c r="G41" s="16" t="str"/>
      <x:c r="H41" s="16" t="str"/>
      <x:c r="I41" s="16" t="str"/>
      <x:c r="J41" s="16" t="str"/>
      <x:c r="K41" s="16" t="str"/>
      <x:c r="L41" s="16" t="str"/>
    </x:row>
    <x:row r="42" ht="58" customHeight="1">
      <x:c r="A42" s="16" t="str"/>
      <x:c r="B42" s="16" t="str"/>
      <x:c r="C42" s="16" t="str"/>
      <x:c r="D42" s="16" t="str"/>
      <x:c r="E42" s="16" t="str"/>
      <x:c r="F42" s="16" t="str"/>
      <x:c r="G42" s="16" t="str"/>
      <x:c r="H42" s="16" t="str"/>
      <x:c r="I42" s="16" t="str"/>
      <x:c r="J42" s="16" t="str"/>
      <x:c r="K42" s="16" t="str"/>
      <x:c r="L42" s="16" t="str"/>
    </x:row>
    <x:row r="43" ht="58" customHeight="1">
      <x:c r="A43" s="16" t="str"/>
      <x:c r="B43" s="16" t="str"/>
      <x:c r="C43" s="16" t="str"/>
      <x:c r="D43" s="16" t="str"/>
      <x:c r="E43" s="16" t="str"/>
      <x:c r="F43" s="16" t="str"/>
      <x:c r="G43" s="16" t="str"/>
      <x:c r="H43" s="16" t="str"/>
      <x:c r="I43" s="16" t="str"/>
      <x:c r="J43" s="16" t="str"/>
      <x:c r="K43" s="16" t="str"/>
      <x:c r="L43" s="16" t="str"/>
    </x:row>
    <x:row r="44" ht="58" customHeight="1">
      <x:c r="A44" s="16" t="str"/>
      <x:c r="B44" s="16" t="str"/>
      <x:c r="C44" s="16" t="str"/>
      <x:c r="D44" s="16" t="str"/>
      <x:c r="E44" s="16" t="str"/>
      <x:c r="F44" s="16" t="str"/>
      <x:c r="G44" s="16" t="str"/>
      <x:c r="H44" s="16" t="str"/>
      <x:c r="I44" s="16" t="str"/>
      <x:c r="J44" s="16" t="str"/>
      <x:c r="K44" s="16" t="str"/>
      <x:c r="L44" s="16" t="str"/>
    </x:row>
    <x:row r="45" ht="58" customHeight="1">
      <x:c r="A45" s="16" t="str"/>
      <x:c r="B45" s="16" t="str"/>
      <x:c r="C45" s="16" t="str"/>
      <x:c r="D45" s="16" t="str"/>
      <x:c r="E45" s="16" t="str"/>
      <x:c r="F45" s="16" t="str"/>
      <x:c r="G45" s="16" t="str"/>
      <x:c r="H45" s="16" t="str"/>
      <x:c r="I45" s="16" t="str"/>
      <x:c r="J45" s="16" t="str"/>
      <x:c r="K45" s="16" t="str"/>
      <x:c r="L45" s="16" t="str"/>
    </x:row>
    <x:row r="46" ht="58" customHeight="1">
      <x:c r="A46" s="16" t="str"/>
      <x:c r="B46" s="16" t="str"/>
      <x:c r="C46" s="16" t="str"/>
      <x:c r="D46" s="16" t="str"/>
      <x:c r="E46" s="16" t="str"/>
      <x:c r="F46" s="16" t="str"/>
      <x:c r="G46" s="16" t="str"/>
      <x:c r="H46" s="16" t="str"/>
      <x:c r="I46" s="16" t="str"/>
      <x:c r="J46" s="16" t="str"/>
      <x:c r="K46" s="16" t="str"/>
      <x:c r="L46" s="16" t="str"/>
    </x:row>
    <x:row r="47" ht="58" customHeight="1">
      <x:c r="A47" s="16" t="str"/>
      <x:c r="B47" s="16" t="str"/>
      <x:c r="C47" s="16" t="str"/>
      <x:c r="D47" s="16" t="str"/>
      <x:c r="E47" s="16" t="str"/>
      <x:c r="F47" s="16" t="str"/>
      <x:c r="G47" s="16" t="str"/>
      <x:c r="H47" s="16" t="str"/>
      <x:c r="I47" s="16" t="str"/>
      <x:c r="J47" s="16" t="str"/>
      <x:c r="K47" s="16" t="str"/>
      <x:c r="L47" s="16" t="str"/>
    </x:row>
    <x:row r="48" ht="58" customHeight="1">
      <x:c r="A48" s="16" t="str"/>
      <x:c r="B48" s="16" t="str"/>
      <x:c r="C48" s="16" t="str"/>
      <x:c r="D48" s="16" t="str"/>
      <x:c r="E48" s="16" t="str"/>
      <x:c r="F48" s="16" t="str"/>
      <x:c r="G48" s="16" t="str"/>
      <x:c r="H48" s="16" t="str"/>
      <x:c r="I48" s="16" t="str"/>
      <x:c r="J48" s="16" t="str"/>
      <x:c r="K48" s="16" t="str"/>
      <x:c r="L48" s="16" t="str"/>
    </x:row>
    <x:row r="49" ht="58" customHeight="1">
      <x:c r="A49" s="16" t="str"/>
      <x:c r="B49" s="16" t="str"/>
      <x:c r="C49" s="16" t="str"/>
      <x:c r="D49" s="16" t="str"/>
      <x:c r="E49" s="16" t="str"/>
      <x:c r="F49" s="16" t="str"/>
      <x:c r="G49" s="16" t="str"/>
      <x:c r="H49" s="16" t="str"/>
      <x:c r="I49" s="16" t="str"/>
      <x:c r="J49" s="16" t="str"/>
      <x:c r="K49" s="16" t="str"/>
      <x:c r="L49" s="16" t="str"/>
    </x:row>
    <x:row r="50" ht="58" customHeight="1">
      <x:c r="A50" s="16" t="str"/>
      <x:c r="B50" s="16" t="str"/>
      <x:c r="C50" s="16" t="str"/>
      <x:c r="D50" s="16" t="str"/>
      <x:c r="E50" s="16" t="str"/>
      <x:c r="F50" s="16" t="str"/>
      <x:c r="G50" s="16" t="str"/>
      <x:c r="H50" s="16" t="str"/>
      <x:c r="I50" s="16" t="str"/>
      <x:c r="J50" s="16" t="str"/>
      <x:c r="K50" s="16" t="str"/>
      <x:c r="L50" s="16" t="str"/>
    </x:row>
    <x:row r="51" ht="58" customHeight="1">
      <x:c r="A51" s="16" t="str"/>
      <x:c r="B51" s="16" t="str"/>
      <x:c r="C51" s="16" t="str"/>
      <x:c r="D51" s="16" t="str"/>
      <x:c r="E51" s="16" t="str"/>
      <x:c r="F51" s="16" t="str"/>
      <x:c r="G51" s="16" t="str"/>
      <x:c r="H51" s="16" t="str"/>
      <x:c r="I51" s="16" t="str"/>
      <x:c r="J51" s="16" t="str"/>
      <x:c r="K51" s="16" t="str"/>
      <x:c r="L51" s="16" t="str"/>
    </x:row>
    <x:row r="52" ht="58" customHeight="1">
      <x:c r="A52" s="16" t="str"/>
      <x:c r="B52" s="16" t="str"/>
      <x:c r="C52" s="16" t="str"/>
      <x:c r="D52" s="16" t="str"/>
      <x:c r="E52" s="16" t="str"/>
      <x:c r="F52" s="16" t="str"/>
      <x:c r="G52" s="16" t="str"/>
      <x:c r="H52" s="16" t="str"/>
      <x:c r="I52" s="16" t="str"/>
      <x:c r="J52" s="16" t="str"/>
      <x:c r="K52" s="16" t="str"/>
      <x:c r="L52" s="16" t="str"/>
    </x:row>
    <x:row r="53" ht="58" customHeight="1">
      <x:c r="A53" s="16" t="str"/>
      <x:c r="B53" s="16" t="str"/>
      <x:c r="C53" s="16" t="str"/>
      <x:c r="D53" s="16" t="str"/>
      <x:c r="E53" s="16" t="str"/>
      <x:c r="F53" s="16" t="str"/>
      <x:c r="G53" s="16" t="str"/>
      <x:c r="H53" s="16" t="str"/>
      <x:c r="I53" s="16" t="str"/>
      <x:c r="J53" s="16" t="str"/>
      <x:c r="K53" s="16" t="str"/>
      <x:c r="L53" s="16" t="str"/>
    </x:row>
    <x:row r="54" ht="58" customHeight="1">
      <x:c r="A54" s="16" t="str"/>
      <x:c r="B54" s="16" t="str"/>
      <x:c r="C54" s="16" t="str"/>
      <x:c r="D54" s="16" t="str"/>
      <x:c r="E54" s="16" t="str"/>
      <x:c r="F54" s="16" t="str"/>
      <x:c r="G54" s="16" t="str"/>
      <x:c r="H54" s="16" t="str"/>
      <x:c r="I54" s="16" t="str"/>
      <x:c r="J54" s="16" t="str"/>
      <x:c r="K54" s="16" t="str"/>
      <x:c r="L54" s="16" t="str"/>
    </x:row>
    <x:row r="55" ht="58" customHeight="1">
      <x:c r="A55" s="16" t="str"/>
      <x:c r="B55" s="16" t="str"/>
      <x:c r="C55" s="16" t="str"/>
      <x:c r="D55" s="16" t="str"/>
      <x:c r="E55" s="16" t="str"/>
      <x:c r="F55" s="16" t="str"/>
      <x:c r="G55" s="16" t="str"/>
      <x:c r="H55" s="16" t="str"/>
      <x:c r="I55" s="16" t="str"/>
      <x:c r="J55" s="16" t="str"/>
      <x:c r="K55" s="16" t="str"/>
      <x:c r="L55" s="16" t="str"/>
    </x:row>
    <x:row r="56" ht="58" customHeight="1">
      <x:c r="A56" s="16" t="str"/>
      <x:c r="B56" s="16" t="str"/>
      <x:c r="C56" s="16" t="str"/>
      <x:c r="D56" s="16" t="str"/>
      <x:c r="E56" s="16" t="str"/>
      <x:c r="F56" s="16" t="str"/>
      <x:c r="G56" s="16" t="str"/>
      <x:c r="H56" s="16" t="str"/>
      <x:c r="I56" s="16" t="str"/>
      <x:c r="J56" s="16" t="str"/>
      <x:c r="K56" s="16" t="str"/>
      <x:c r="L56" s="16" t="str"/>
    </x:row>
    <x:row r="57" ht="58" customHeight="1">
      <x:c r="A57" s="16" t="str"/>
      <x:c r="B57" s="16" t="str"/>
      <x:c r="C57" s="16" t="str"/>
      <x:c r="D57" s="16" t="str"/>
      <x:c r="E57" s="16" t="str"/>
      <x:c r="F57" s="16" t="str"/>
      <x:c r="G57" s="16" t="str"/>
      <x:c r="H57" s="16" t="str"/>
      <x:c r="I57" s="16" t="str"/>
      <x:c r="J57" s="16" t="str"/>
      <x:c r="K57" s="16" t="str"/>
      <x:c r="L57" s="16" t="str"/>
    </x:row>
    <x:row r="58" ht="58" customHeight="1">
      <x:c r="A58" s="16" t="str"/>
      <x:c r="B58" s="16" t="str"/>
      <x:c r="C58" s="16" t="str"/>
      <x:c r="D58" s="16" t="str"/>
      <x:c r="E58" s="16" t="str"/>
      <x:c r="F58" s="16" t="str"/>
      <x:c r="G58" s="16" t="str"/>
      <x:c r="H58" s="16" t="str"/>
      <x:c r="I58" s="16" t="str"/>
      <x:c r="J58" s="16" t="str"/>
      <x:c r="K58" s="16" t="str"/>
      <x:c r="L58" s="16" t="str"/>
    </x:row>
    <x:row r="59" ht="58" customHeight="1">
      <x:c r="A59" s="16" t="str"/>
      <x:c r="B59" s="16" t="str"/>
      <x:c r="C59" s="16" t="str"/>
      <x:c r="D59" s="16" t="str"/>
      <x:c r="E59" s="16" t="str"/>
      <x:c r="F59" s="16" t="str"/>
      <x:c r="G59" s="16" t="str"/>
      <x:c r="H59" s="16" t="str"/>
      <x:c r="I59" s="16" t="str"/>
      <x:c r="J59" s="16" t="str"/>
      <x:c r="K59" s="16" t="str"/>
      <x:c r="L59" s="16" t="str"/>
    </x:row>
    <x:row r="60" ht="58" customHeight="1">
      <x:c r="A60" s="16" t="str"/>
      <x:c r="B60" s="16" t="str"/>
      <x:c r="C60" s="16" t="str"/>
      <x:c r="D60" s="16" t="str"/>
      <x:c r="E60" s="16" t="str"/>
      <x:c r="F60" s="16" t="str"/>
      <x:c r="G60" s="16" t="str"/>
      <x:c r="H60" s="16" t="str"/>
      <x:c r="I60" s="16" t="str"/>
      <x:c r="J60" s="16" t="str"/>
      <x:c r="K60" s="16" t="str"/>
      <x:c r="L60" s="16" t="str"/>
    </x:row>
    <x:row r="61" ht="58" customHeight="1">
      <x:c r="A61" s="16" t="str"/>
      <x:c r="B61" s="16" t="str"/>
      <x:c r="C61" s="16" t="str"/>
      <x:c r="D61" s="16" t="str"/>
      <x:c r="E61" s="16" t="str"/>
      <x:c r="F61" s="16" t="str"/>
      <x:c r="G61" s="16" t="str"/>
      <x:c r="H61" s="16" t="str"/>
      <x:c r="I61" s="16" t="str"/>
      <x:c r="J61" s="16" t="str"/>
      <x:c r="K61" s="16" t="str"/>
      <x:c r="L61" s="16" t="str"/>
    </x:row>
    <x:row r="62" ht="58" customHeight="1">
      <x:c r="A62" s="16" t="str"/>
      <x:c r="B62" s="16" t="str"/>
      <x:c r="C62" s="16" t="str"/>
      <x:c r="D62" s="16" t="str"/>
      <x:c r="E62" s="16" t="str"/>
      <x:c r="F62" s="16" t="str"/>
      <x:c r="G62" s="16" t="str"/>
      <x:c r="H62" s="16" t="str"/>
      <x:c r="I62" s="16" t="str"/>
      <x:c r="J62" s="16" t="str"/>
      <x:c r="K62" s="16" t="str"/>
      <x:c r="L62" s="16" t="str"/>
    </x:row>
    <x:row r="63" ht="58" customHeight="1">
      <x:c r="A63" s="16" t="str"/>
      <x:c r="B63" s="16" t="str"/>
      <x:c r="C63" s="16" t="str"/>
      <x:c r="D63" s="16" t="str"/>
      <x:c r="E63" s="16" t="str"/>
      <x:c r="F63" s="16" t="str"/>
      <x:c r="G63" s="16" t="str"/>
      <x:c r="H63" s="16" t="str"/>
      <x:c r="I63" s="16" t="str"/>
      <x:c r="J63" s="16" t="str"/>
      <x:c r="K63" s="16" t="str"/>
      <x:c r="L63" s="16" t="str"/>
    </x:row>
    <x:row r="64" ht="58" customHeight="1">
      <x:c r="A64" s="16" t="str"/>
      <x:c r="B64" s="16" t="str"/>
      <x:c r="C64" s="16" t="str"/>
      <x:c r="D64" s="16" t="str"/>
      <x:c r="E64" s="16" t="str"/>
      <x:c r="F64" s="16" t="str"/>
      <x:c r="G64" s="16" t="str"/>
      <x:c r="H64" s="16" t="str"/>
      <x:c r="I64" s="16" t="str"/>
      <x:c r="J64" s="16" t="str"/>
      <x:c r="K64" s="16" t="str"/>
      <x:c r="L64" s="16" t="str"/>
    </x:row>
  </x:sheetData>
  <x:mergeCells>
    <x:mergeCell ref="A1:L1"/>
    <x:mergeCell ref="A2:L2"/>
  </x:mergeCells>
  <x:conditionalFormatting sqref="D5:D64">
    <x:cfRule type="containsText" dxfId="24" priority="1" operator="containsText" text="OK"/>
    <x:cfRule type="containsText" dxfId="25" priority="2" operator="containsText" text="NG"/>
    <x:cfRule type="containsText" dxfId="26" priority="3" operator="containsText" text="保留"/>
    <x:cfRule type="containsText" dxfId="27" priority="4" operator="containsText" text="対象外"/>
  </x:conditionalFormatting>
  <x:dataValidations count="2">
    <x:dataValidation type="list" sqref="D5:D64">
      <x:formula1>"未実施,OK,NG,保留,対象外"</x:formula1>
    </x:dataValidation>
    <x:dataValidation type="list" sqref="L5:L64">
      <x:formula1>"未対応,調査中,修正済,再テスト待ち,完了,対象外"</x:formula1>
    </x:dataValidation>
  </x:dataValidations>
  <x:pageMargins left="0.7" right="0.7" top="0.75" bottom="0.75" header="0.3" footer="0.3"/>
  <x:tableParts count="1">
    <x:tablePart xmlns:r="http://schemas.openxmlformats.org/officeDocument/2006/relationships" r:id="Rb5fb75c388e34085"/>
  </x:tableParts>
</x:worksheet>
</file>